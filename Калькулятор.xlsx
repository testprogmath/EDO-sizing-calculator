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Coefficients" sheetId="2" r:id="rId5"/>
    <sheet state="visible" name="Вычисления" sheetId="3" r:id="rId6"/>
    <sheet state="hidden" name="Расчеты_МАВ" sheetId="4" r:id="rId7"/>
    <sheet state="visible" name="Калькулятор" sheetId="5" r:id="rId8"/>
    <sheet state="hidden" name="Результаты измерений" sheetId="6" r:id="rId9"/>
  </sheets>
  <definedNames>
    <definedName hidden="1" localSheetId="5" name="Z_8E4F56A6_CDF3_44BA_9B0C_00ED3159EA7D_.wvu.FilterData">'Результаты измерений'!$A$1:$BI$261</definedName>
  </definedNames>
  <calcPr/>
  <customWorkbookViews>
    <customWorkbookView activeSheetId="0" maximized="1" windowHeight="0" windowWidth="0" guid="{8E4F56A6-CDF3-44BA-9B0C-00ED3159EA7D}" name="Table1 filter view"/>
  </customWorkbookViews>
  <extLst>
    <ext uri="GoogleSheetsCustomDataVersion2">
      <go:sheetsCustomData xmlns:go="http://customooxmlschemas.google.com/" r:id="rId10" roundtripDataChecksum="frRBJvJZrUCZj63fxGqLFNi+vpEvuyaAUxEv3OTcoAM="/>
    </ext>
  </extLst>
</workbook>
</file>

<file path=xl/sharedStrings.xml><?xml version="1.0" encoding="utf-8"?>
<sst xmlns="http://schemas.openxmlformats.org/spreadsheetml/2006/main" count="2559" uniqueCount="1068">
  <si>
    <t>Key</t>
  </si>
  <si>
    <t>Description</t>
  </si>
  <si>
    <t>Value</t>
  </si>
  <si>
    <t>Unit / Notes</t>
  </si>
  <si>
    <t>Devices</t>
  </si>
  <si>
    <t>Количество устройств (NAC endpoints)</t>
  </si>
  <si>
    <t>шт</t>
  </si>
  <si>
    <t>Access Method</t>
  </si>
  <si>
    <t>Механизм аутентификации</t>
  </si>
  <si>
    <t>MAB</t>
  </si>
  <si>
    <t>PeakRpsInput</t>
  </si>
  <si>
    <t>Пиковый RPS (если задан напрямую)</t>
  </si>
  <si>
    <t>req/s</t>
  </si>
  <si>
    <t>HeadroomPct</t>
  </si>
  <si>
    <t>Запас по производительности (Headroom H), %</t>
  </si>
  <si>
    <t>%</t>
  </si>
  <si>
    <t>DcCount</t>
  </si>
  <si>
    <t>Количество ЦОД (active-active)</t>
  </si>
  <si>
    <t>GatewayEnabled</t>
  </si>
  <si>
    <t>Учитывать накладные Gateway (0 = нет, 1 = да)</t>
  </si>
  <si>
    <t>0/1</t>
  </si>
  <si>
    <t>GatewayOverheadPct</t>
  </si>
  <si>
    <t>Надбавка Gateway, %</t>
  </si>
  <si>
    <t>OcspEnabled</t>
  </si>
  <si>
    <t>Учитывать OCSP (0 = нет, 1 = да)</t>
  </si>
  <si>
    <t>AccountingEnabled</t>
  </si>
  <si>
    <t>Учитывать аудит (аккаунтинг)</t>
  </si>
  <si>
    <t>MacSpoofing</t>
  </si>
  <si>
    <t>Учитывать МАС-spoofing (только для МАВ)  (0 = нет, 1 = да)</t>
  </si>
  <si>
    <t>NodeCountPerDc</t>
  </si>
  <si>
    <t>Количество нод в одном ЦОД</t>
  </si>
  <si>
    <t>AuthAttemptsPerDevicePerDay</t>
  </si>
  <si>
    <t>Количество подключений каждого устройства в день</t>
  </si>
  <si>
    <t>раз(а)</t>
  </si>
  <si>
    <t>Retention_days</t>
  </si>
  <si>
    <t>Период сохранения данных в БД, дней</t>
  </si>
  <si>
    <t>дней</t>
  </si>
  <si>
    <t xml:space="preserve">СПРАВОЧНЫЕ ДАННЫЕ, НЕ МЕНЯТЬ: </t>
  </si>
  <si>
    <t>ConcurrentPeakPct</t>
  </si>
  <si>
    <t>Одновременные подключения, %</t>
  </si>
  <si>
    <t>BurstWindowSec</t>
  </si>
  <si>
    <t>Окно всплеска, сек</t>
  </si>
  <si>
    <t>сек</t>
  </si>
  <si>
    <t>SLA_p95_sec</t>
  </si>
  <si>
    <t>Целевой p95, сек</t>
  </si>
  <si>
    <t>Mechanism</t>
  </si>
  <si>
    <t>Коэфф</t>
  </si>
  <si>
    <t>Значение</t>
  </si>
  <si>
    <t>Описание</t>
  </si>
  <si>
    <t>Методика рассчета</t>
  </si>
  <si>
    <t>EAP-TLS</t>
  </si>
  <si>
    <t>NominalRpsPerPod</t>
  </si>
  <si>
    <t>Комфортный RPS на один pod (без OCSP)</t>
  </si>
  <si>
    <t>Комфортный RPS на один pod (без OCSP). Выбран на основе тестов 45 и 126: pod выдерживает 20–26 RPS, для модели берём консервативное значение 20 RPS/pod.</t>
  </si>
  <si>
    <t>CpuPeakPerRps</t>
  </si>
  <si>
    <t>Пиковое потребление CPU (core) на 1 RPS/pod</t>
  </si>
  <si>
    <t>Коэффициент получен из измерений нагрузки: pod edo-radius потреблял ~2.0–2.3 core при нагрузке ~22–25 RPS. Пример оценки: 2.1 core / 23 RPS ≈ 0.091 core на 1 RPS на pod. Для модели округляем до 0.09 core/RPS/pod.</t>
  </si>
  <si>
    <t>MemPeakPerRpsMiB</t>
  </si>
  <si>
    <t>Пиковое потребление памяти (MiB) на 1 RPS/pod</t>
  </si>
  <si>
    <t>По замерам pod потреблял ~0.8–1.1 GiB памяти при ~22–25 RPS. Оценка: около 1000 MiB / 25 RPS ≈ 40 MiB на 1 RPS. Для модели принимаем 40 MiB/RPS/pod.</t>
  </si>
  <si>
    <t>OCSP_Include, %</t>
  </si>
  <si>
    <t>Общее</t>
  </si>
  <si>
    <t>SafetyFactor</t>
  </si>
  <si>
    <t>Запас между peak и limit по ресурсам pod</t>
  </si>
  <si>
    <t>Лимиты ресурсов пода выставляем выше измеренного пика. Коэффициент 1.25 даёт +25% запаса по CPU и памяти относительно наблюдённого максимума. Это уменьшает риск throttling’а и даёт пространство для флуктуаций нагрузки.</t>
  </si>
  <si>
    <t>MaxNodeUtilization</t>
  </si>
  <si>
    <t>Максимальная целевая загрузка ноды (70%)</t>
  </si>
  <si>
    <t>Инженерная практика, чтобы держать хороший баланс между эффективностью и запасом по ресурсу, не выводилась из измерений напрямую.</t>
  </si>
  <si>
    <t>NodeHeadroom</t>
  </si>
  <si>
    <t>МАВ</t>
  </si>
  <si>
    <t>Baseline_NodeCPU_p95</t>
  </si>
  <si>
    <t>PEAP</t>
  </si>
  <si>
    <t>TEAP</t>
  </si>
  <si>
    <t>Baseline_NodeMemGiB_p95</t>
  </si>
  <si>
    <t>Базовая загрузка по памяти</t>
  </si>
  <si>
    <t>Комфортный RPS на один pod</t>
  </si>
  <si>
    <t>По отфильтрованным прогонам PEAP (без таймаутов и с Iteration Duration Max &lt; 40s): медиана Client Peak RPS/pod ≈ 11.6, p75 ≈ 12.9; для модели берём консервативно 12 RPS/pod.</t>
  </si>
  <si>
    <t>Пиковое потребление CPU (core) на 1 RPS на pod</t>
  </si>
  <si>
    <t>Оценка по пикам CPU и фактическому RPS/pod в выбранных прогонах. При RPS/pod ~10–15 наблюдаем 0.19–0.23 core/RPS; берём 0.21 core/RPS/pod.</t>
  </si>
  <si>
    <t>Пиковое потребление памяти (MiB) на 1 RPS на pod</t>
  </si>
  <si>
    <t>Для RPS/pod ~10–15 наблюдаем ~60–84 MiB/RPS (медиана ~70); для модели берём 70 MiB/RPS/pod.</t>
  </si>
  <si>
    <t>EAP-TEAP</t>
  </si>
  <si>
    <t>MAB_MAC_Spoofing</t>
  </si>
  <si>
    <t>Sweet spot по latency (18–22 RPS/pod)</t>
  </si>
  <si>
    <t>Envelope по всем прогонам c включенным спуфингом</t>
  </si>
  <si>
    <t>Учитывает accounting + state</t>
  </si>
  <si>
    <t>MAB+Accounting</t>
  </si>
  <si>
    <t>Комфортный RPS на pod с accounting</t>
  </si>
  <si>
    <t>CPU peak per RPS/pod (≈ +23%)</t>
  </si>
  <si>
    <t>Memory peak per RPS/pod (≈ +23%)</t>
  </si>
  <si>
    <t>Общее+Accounting</t>
  </si>
  <si>
    <t>AccountingCpuOverhead</t>
  </si>
  <si>
    <t>AccountingMemOverhead</t>
  </si>
  <si>
    <t>SpoofingMemOverhead</t>
  </si>
  <si>
    <t>Дополнительный оверхед памяти с проверкой на МАС-спуфинг (по сравнению с МАВ + аккаунтинг)</t>
  </si>
  <si>
    <t>SpoofingCpuOverhead</t>
  </si>
  <si>
    <t>Дополнительный оверхед по процу с проверкой на МАС-спуфинг (по сравнению с МАВ+аккаунтинг)</t>
  </si>
  <si>
    <t>AccountingOverheadPeakRps</t>
  </si>
  <si>
    <t>BytesPerAccountingSession</t>
  </si>
  <si>
    <t>Средний объём одной accounting-сессии в acs.radacct</t>
  </si>
  <si>
    <t>Общий размер таблицы radacct (heap + indexes) / общее число строк. Подтверждено замерами на MAB-прогонах.</t>
  </si>
  <si>
    <t>BytesPerAuthAttempt</t>
  </si>
  <si>
    <t>Средний объём данных на одну попытку аутентификации MAB (без учёта accounting)</t>
  </si>
  <si>
    <t>acs.radpostauth (1 748 B/auth) + acs.trace_rad_auth_messages (≈7 500 B/auth).</t>
  </si>
  <si>
    <t>MAB (no spoofing)</t>
  </si>
  <si>
    <t>BytesPerSession</t>
  </si>
  <si>
    <t>Средний объём данных на одну MAB-сессию без MAC-spoofing</t>
  </si>
  <si>
    <t>BytesPerAccountingSession + BytesPerAuthAttempt.</t>
  </si>
  <si>
    <t>MAB (with spoofing)</t>
  </si>
  <si>
    <t>BytesPerSessionSpoofing</t>
  </si>
  <si>
    <t>Средний объём данных на одну MAB-сессию с MAC-spoofing</t>
  </si>
  <si>
    <t>BytesPerAccountingSession + 2 × BytesPerAuthAttempt (два auth attempt на одну сессию).</t>
  </si>
  <si>
    <t>PEAP MSCHAPv2</t>
  </si>
  <si>
    <t>Средний объём данных на одну аутентификацию PEAP</t>
  </si>
  <si>
    <t>acs.radpostauth (≈4.2 KB/auth) + acs.trace_rad_auth_messages (≈39.7 KB/auth), рассчитано по окну теста.</t>
  </si>
  <si>
    <t>Средний объём данных на одну аутентификацию EAP-TLS</t>
  </si>
  <si>
    <t>acs.radpostauth (≈4.1 KB/auth) + acs.trace_rad_auth_messages (≈22.6 KB/auth), по нагрузочным замерам.</t>
  </si>
  <si>
    <t>Средний объём данных на одну аутентификацию TEAP</t>
  </si>
  <si>
    <t>acs.radpostauth (≈3.4 KB/auth) + acs.trace_rad_auth_messages (≈161 KB/auth). Высокий объём обусловлен количеством trace-событий (~268 на auth).</t>
  </si>
  <si>
    <t>Общее (для EAP-TLS и TEAP)</t>
  </si>
  <si>
    <t>BytesPerAuthOCSPCheck</t>
  </si>
  <si>
    <t>Parameter</t>
  </si>
  <si>
    <t>MAB + Acct + MAC-spoofing</t>
  </si>
  <si>
    <t>MAB + Acct</t>
  </si>
  <si>
    <t>PEAP + Acct</t>
  </si>
  <si>
    <t>TEAP + Acct</t>
  </si>
  <si>
    <t>Количество устройств</t>
  </si>
  <si>
    <t>Запас по производительности, %</t>
  </si>
  <si>
    <t>Gateway включен (0/1)</t>
  </si>
  <si>
    <t>Аккаунтинг включен (0/1)</t>
  </si>
  <si>
    <t>OCSP включен (0/1)</t>
  </si>
  <si>
    <t>N/A</t>
  </si>
  <si>
    <t>OcspOverheadPct</t>
  </si>
  <si>
    <t>Надбавка OCSP, %</t>
  </si>
  <si>
    <t>ConcurrentDevices</t>
  </si>
  <si>
    <t>Количество одновременных устройств</t>
  </si>
  <si>
    <t>RpsFromDevices</t>
  </si>
  <si>
    <t>RPS, рассчитанный из Devices/Concurrent/Burst</t>
  </si>
  <si>
    <t>BasePeakRps</t>
  </si>
  <si>
    <t>Базовый пиковый RPS (max из заданного и рассчитанного)</t>
  </si>
  <si>
    <t>RpsWithGw</t>
  </si>
  <si>
    <t>RPS с учётом Gateway</t>
  </si>
  <si>
    <t>TargetRpsBase</t>
  </si>
  <si>
    <t>RPS с учётом Headroom (без OCSP)</t>
  </si>
  <si>
    <t>TargetRpsAccountingBase</t>
  </si>
  <si>
    <t>RPS с учетом аккаунтинга (если включен)</t>
  </si>
  <si>
    <t>TargetRpsEffective</t>
  </si>
  <si>
    <t>Итоговый RPS (с учётом OCSP, если включен)</t>
  </si>
  <si>
    <t>Scenario1_PodsCalculated</t>
  </si>
  <si>
    <t>Расчётное количество pod (до минимума)</t>
  </si>
  <si>
    <t>Scenario1_MinPods</t>
  </si>
  <si>
    <t>Минимальное количество pod</t>
  </si>
  <si>
    <t>Scenario1_PodsFinal</t>
  </si>
  <si>
    <t>Итоговое количество pod</t>
  </si>
  <si>
    <t>Scenario1_RpsPerPod</t>
  </si>
  <si>
    <t>Фактический RPS на pod</t>
  </si>
  <si>
    <t>Scenario1_PodCpuLimitCores</t>
  </si>
  <si>
    <t>Лимит CPU (cores) на pod</t>
  </si>
  <si>
    <t>Scenario1_PodCpuLimit_mCPU</t>
  </si>
  <si>
    <t>Лимит CPU (mCPU) на pod</t>
  </si>
  <si>
    <t>Scenario1_PodMemLimitMiB</t>
  </si>
  <si>
    <t>Лимит памяти (MiB) на pod</t>
  </si>
  <si>
    <t>Scenario1_PodCpuRequest_mCPU</t>
  </si>
  <si>
    <t>Request CPU (mCPU) на pod</t>
  </si>
  <si>
    <t>Scenario1_PodMemRequestMiB</t>
  </si>
  <si>
    <t>Request памяти (MiB) на pod</t>
  </si>
  <si>
    <t>Scenario1_DcTotalCpu_mCPU</t>
  </si>
  <si>
    <t>Суммарный лимит CPU (mCPU) подов в одном ЦОД</t>
  </si>
  <si>
    <t>Scenario1_DcTotalCpuCores</t>
  </si>
  <si>
    <t>Суммарный лимит CPU (cores) подов в одном ЦОД</t>
  </si>
  <si>
    <t>Scenario1_DcTotalMemMiB</t>
  </si>
  <si>
    <t>Суммарный лимит памяти (MiB) подов в одном ЦОД</t>
  </si>
  <si>
    <t>Scenario1_DcTotalMemGiB</t>
  </si>
  <si>
    <t>Суммарный лимит памяти (GiB) подов в одном ЦОД</t>
  </si>
  <si>
    <t>Scenario1_DcCpuCoresWithUtil</t>
  </si>
  <si>
    <t>CPU с учётом целевой загрузки нод</t>
  </si>
  <si>
    <t>Scenario1_DcMemGiBWithUtil</t>
  </si>
  <si>
    <t>Память (GiB) с учётом целевой загрузки нод</t>
  </si>
  <si>
    <t>Scenario1_NodeMemSizeGib</t>
  </si>
  <si>
    <t>Сырое значение памяти на ноду + бейзлайн</t>
  </si>
  <si>
    <t>Количество занятой памяти в таблице, Гб (количество сессий * количество дней retention period * память на сессию одного устройства в байтах * количество устройств)</t>
  </si>
  <si>
    <t>Devices max</t>
  </si>
  <si>
    <t>Target RPS (с запасами)</t>
  </si>
  <si>
    <t>Pods min при 27 RPS/pod</t>
  </si>
  <si>
    <t>5 000</t>
  </si>
  <si>
    <t>10 000</t>
  </si>
  <si>
    <t>12 000</t>
  </si>
  <si>
    <t>15 000</t>
  </si>
  <si>
    <t>20 000</t>
  </si>
  <si>
    <t>ProfileName</t>
  </si>
  <si>
    <t>Типовой профиль по количеству устройств</t>
  </si>
  <si>
    <t>MAB + Аккаунтинг + MAC-spoofing</t>
  </si>
  <si>
    <t>MAB+Acct</t>
  </si>
  <si>
    <t>PEAP+Acct</t>
  </si>
  <si>
    <t>TEAP+Acct</t>
  </si>
  <si>
    <t>Profile_MinPods</t>
  </si>
  <si>
    <t>Таблица CPU классов нод</t>
  </si>
  <si>
    <t>аблица RAM классов нод (GiB)</t>
  </si>
  <si>
    <t>Profile_RecommendedPods</t>
  </si>
  <si>
    <t>Рекомендуемое количество pod</t>
  </si>
  <si>
    <t>Required_NodeCpuCores</t>
  </si>
  <si>
    <t>Сырое значение CPU на ноду</t>
  </si>
  <si>
    <t>Profile_NodeCpuCores</t>
  </si>
  <si>
    <t>CPU на ноду (vCPU, профиль)</t>
  </si>
  <si>
    <t>Required_NodeMemGiB</t>
  </si>
  <si>
    <t>Память на ноду с учетом других сервисов</t>
  </si>
  <si>
    <t>NodeStorageGb</t>
  </si>
  <si>
    <t>Хранилище на ноду (Gb, дефолтное значение)</t>
  </si>
  <si>
    <t>RadAuthStorageGb</t>
  </si>
  <si>
    <t>Из них данных по сессиям (Gb)</t>
  </si>
  <si>
    <t>NodeNumber</t>
  </si>
  <si>
    <t>Количество нод в кластере (задается на листе Inputs)</t>
  </si>
  <si>
    <t>Profile_ClusterCpuCores</t>
  </si>
  <si>
    <t>Общее количество CPU на кластер (vCPU, профиль)</t>
  </si>
  <si>
    <t>Profile_ClusterMemGib</t>
  </si>
  <si>
    <t>Общее количество RAM на кластер (GiB, профиль)</t>
  </si>
  <si>
    <t>PodCpuLimitCores</t>
  </si>
  <si>
    <t>PodCpuLimit_mCPU</t>
  </si>
  <si>
    <t>PodMemLimitMiB</t>
  </si>
  <si>
    <t>PodCpuRequest_mCPU</t>
  </si>
  <si>
    <t>PodMemRequestMiB</t>
  </si>
  <si>
    <t>Тест №</t>
  </si>
  <si>
    <t>Дата тестирования</t>
  </si>
  <si>
    <t>Сценарий</t>
  </si>
  <si>
    <t>Профиль нагрузки</t>
  </si>
  <si>
    <t>Начало теста (Т0)</t>
  </si>
  <si>
    <t>Конец теста (Т1)</t>
  </si>
  <si>
    <t>Planned RPS</t>
  </si>
  <si>
    <t>Auth Requests (increase)</t>
  </si>
  <si>
    <t>CPU Throttling max per pod (%)</t>
  </si>
  <si>
    <t>CPU Throttling avg across pods (%)</t>
  </si>
  <si>
    <t>Run-queue (node load1 / CPU) peak</t>
  </si>
  <si>
    <t>Pod Working Set Δ max (MiB)</t>
  </si>
  <si>
    <t>UDP drops/errors per pod (sum)</t>
  </si>
  <si>
    <t>UDP drops/errors per node (sum)</t>
  </si>
  <si>
    <t>Per-pod RPS p50</t>
  </si>
  <si>
    <t>Per-pod RPS p95</t>
  </si>
  <si>
    <t>LB imbalance (CV)</t>
  </si>
  <si>
    <t>Actual CPU Limit (mCPU)</t>
  </si>
  <si>
    <t>Actual CPU Request (mCPU)</t>
  </si>
  <si>
    <t>Memory Limit (MiB)</t>
  </si>
  <si>
    <t>Memory Request (MiB)</t>
  </si>
  <si>
    <t>Max VUS</t>
  </si>
  <si>
    <t>Итераций (всего)</t>
  </si>
  <si>
    <t>Dropped итераций</t>
  </si>
  <si>
    <t>Успешных аутентификаций</t>
  </si>
  <si>
    <t>Success Rate (%)</t>
  </si>
  <si>
    <t>Неудачных аутентификаций</t>
  </si>
  <si>
    <t>Failure Rate (%)</t>
  </si>
  <si>
    <t>Таймауты</t>
  </si>
  <si>
    <t>Timeout Rate (%)</t>
  </si>
  <si>
    <t>Ошибки валидации сертификата</t>
  </si>
  <si>
    <t>Cert Validation Errors (%)</t>
  </si>
  <si>
    <t>Auth Duration (avg, ms)</t>
  </si>
  <si>
    <t>Auth Duration P95 (ms)</t>
  </si>
  <si>
    <t>Auth Duration Max (ms)</t>
  </si>
  <si>
    <t>Iteration Duration (avg, ms)</t>
  </si>
  <si>
    <t>Iteration Duration Max (ms)</t>
  </si>
  <si>
    <t>Количество подов</t>
  </si>
  <si>
    <t>Client Peak RPS (система)</t>
  </si>
  <si>
    <t>Client Peak RPS per pod</t>
  </si>
  <si>
    <t>Pod CPU Peak (cores)</t>
  </si>
  <si>
    <t>Pod CPU Peak (mCPU)</t>
  </si>
  <si>
    <t>Pod Memory Peak (MiB)</t>
  </si>
  <si>
    <t>Node CPU Utilization Peak (%)</t>
  </si>
  <si>
    <t>Node Memory Utilization Peak (%)</t>
  </si>
  <si>
    <t>CPU Limit Recommended (mCPU)</t>
  </si>
  <si>
    <t>Memory Limit Recommended (MiB)</t>
  </si>
  <si>
    <t>CPU Request Recommended (mCPU)</t>
  </si>
  <si>
    <t>Memory Request Recommended (MiB)</t>
  </si>
  <si>
    <t>Статус</t>
  </si>
  <si>
    <t>Ссылка на дашборд</t>
  </si>
  <si>
    <t>Ссылка на снэпшот дашборда</t>
  </si>
  <si>
    <t>Примечание</t>
  </si>
  <si>
    <t>Команда для запуска</t>
  </si>
  <si>
    <t>Уникальных пользователей</t>
  </si>
  <si>
    <t>Уникальных NAS-IP</t>
  </si>
  <si>
    <t>MAC-адресов</t>
  </si>
  <si>
    <t>Количество нод</t>
  </si>
  <si>
    <t>CPU на ноду</t>
  </si>
  <si>
    <t>RAM на ноду</t>
  </si>
  <si>
    <t>Storage на ноду</t>
  </si>
  <si>
    <t>old_1</t>
  </si>
  <si>
    <t>1m@30,1m@100,1m@200,2m@50,1m@0</t>
  </si>
  <si>
    <t>⚠️ Требует анализа</t>
  </si>
  <si>
    <t>https://10.116.41.195/grafana/d/edo-radius-full/edo-radius3a-full-auth-acct-2b-kafka-2b-infra?orgId=1&amp;from=1761920400000&amp;to=1761921179000</t>
  </si>
  <si>
    <t>screencapture-10-116-41-195-grafana-d-edo-radius-full-edo-radius3a-full-auth-acct-2b-kafka-2b-infra-2025-10-31-19_00_21.pdf</t>
  </si>
  <si>
    <t>High auth failure rate (21.7%), cert validation issues (3.5%), auth timeouts (1.9%)</t>
  </si>
  <si>
    <t>CSV_PATH=./users-10.csv TLS_PFX_DIR=./certs-eap-tls TLS_PFX_EXT=.pfx PRIVATE_KEY_PASS=12345 TLS_MAC_FILE=./macs.txt EAPOL_NAS_IP_LIST="10.116.42.70,10.116.42.71,10.116.42.72,10.116.42.73,10.116.42.74,10.116.42.75,10.116.42.76,10.116.42.77,10.116.42.78,10.116.42.79" RADIUS_ADDRS="10.116.41.195" RADIUS_SECRET=cisco CA_CERT=./ROOT_WIN-AD.cer TLS_STAGES="1m@30,1m@100,1m@200,2m@50,1m@0" TLS_VUS=3000 TLS_MAXVUS=6000 EAPOL_TIMEOUT_SEC=20 EXEC_TIMEOUT_SEC=30 ERROR_LOG=./tls_errors.log LOG_ALL_FAILURES=true RPS_SECOND_STATS=true EAPOL_BIN=./eapol_test_2.11 k6-exec run radius_load_tls.js</t>
  </si>
  <si>
    <t>old_2</t>
  </si>
  <si>
    <t>1m@10,1m@30,1m@65,2m@16,1m@0</t>
  </si>
  <si>
    <t>Есть разбалансировка, один под жрет гораздо больше остальных ресурсов и обрабатывает гораздо больший трафик</t>
  </si>
  <si>
    <t>https://10.116.41.195/grafana/d/edo-radius-full/edo-radius3a-full-auth-acct-2b-kafka-2b-infra?orgId=1&amp;from=1761982980000&amp;to=1761983399000</t>
  </si>
  <si>
    <t>screencapture-10-116-41-195-grafana-d-edo-radius-full-edo-radius3a-full-auth-acct-2b-kafka-2b-infra-2025-11-01-11_20_21.pdf</t>
  </si>
  <si>
    <t>Сильный дисбаланс подов</t>
  </si>
  <si>
    <t>CSV_PATH=./users-10.csv TLS_PFX_DIR=./certs-eap-tls TLS_PFX_EXT=.pfx PRIVATE_KEY_PASS=12345 TLS_MAC_FILE=./macs.txt EAPOL_NAS_IP_LIST="10.116.42.70,10.116.42.71,10.116.42.72,10.116.42.73,10.116.42.74,10.116.42.75,10.116.42.76,10.116.42.77,10.116.42.78,10.116.42.79" RADIUS_ADDRS="10.116.41.195" RADIUS_SECRET=cisco CA_CERT=./ROOT_WIN-AD.cer TLS_STAGES="1m@10,1m@30,1m@65,2m@16,1m@0" TLS_VUS=1000 TLS_MAXVUS=6000 EAPOL_TIMEOUT_SEC=20 EXEC_TIMEOUT_SEC=30 ERROR_LOG=./tls_errors.log LOG_ALL_FAILURES=true RPS_SECOND_STATS=true EAPOL_BIN=./eapol_test_2.11 k6-exec run radius_load_tls.js</t>
  </si>
  <si>
    <t>old_3</t>
  </si>
  <si>
    <t>1m@120,3m@200,1m@0</t>
  </si>
  <si>
    <t>Есть разбалансировка, один под жрет гораздо больше остальных ресурсов и обрабатывает гораздо больший трафик
Был включен радиус-сервер, поэтому развить 200 RPS не получилось, только 75. Надо выключить и попробовать снова</t>
  </si>
  <si>
    <t>https://10.116.41.195/grafana/d/edo-radius-full/edo-radius3a-full-auth-acct-2b-kafka-2b-infra?orgId=1&amp;from=1761998400000&amp;to=1761998879000</t>
  </si>
  <si>
    <t>screencapture-10-116-41-195-grafana-d-edo-radius-full-edo-radius3a-full-auth-acct-2b-kafka-2b-infra-2025-11-01-17_48_58.pdf</t>
  </si>
  <si>
    <t>Обновленный скрипт для предотвращения пересечений</t>
  </si>
  <si>
    <t>TLS_VUS=700 TLS_MAXVUS=1200 TLS_AVG_ITER_SEC=1.5 TLS_TIMEUNIT=1s TLS_STAGES="1m@120,3m@200,1m@0" START_JITTER_SEC=2 SLEEP_JITTER_SEC=0.05 NAS_IP_MAX_INFLIGHT=30 NAS_LOCK_WAIT_MS=60000 EAPOL_TIMEOUT_SEC=60 EXEC_TIMEOUT_SEC=90 RADIUS_ADDRS="10.116.41.195" RADIUS_SECRET=cisco CSV_PATH=./users-10.csv CA_CERT=./ROOT_WIN-AD.cer TLS_PFX_DIR=./certs-eap-tls TLS_PFX_EXT=.pfx PRIVATE_KEY_PASS=12345 TLS_MAC_FILE=./macs.txt EAPOL_NAS_IP_LIST="10.116.42.70,10.116.42.71,10.116.42.72,10.116.42.73,10.116.42.74,10.116.42.75,10.116.42.76,10.116.42.77,10.116.42.78,10.116.42.79" RPS_SECOND_STATS=true RPS_FILE=./tls_rps_sec.log LOG_ALL_FAILURES=true ERROR_LOG=./tls_errors.log EAPOL_BIN=./eapol_test_2.11 k6-exec run radius_load_tls.js</t>
  </si>
  <si>
    <t>old_4</t>
  </si>
  <si>
    <t>2025-11-05T17:01:30.148Z</t>
  </si>
  <si>
    <t>1m@120,30m@250,1m@0</t>
  </si>
  <si>
    <t>Система выдерживает нагрузку на 6 нодах, 3 отдельных таймаута</t>
  </si>
  <si>
    <t>https://10.116.41.195/grafana/d/edo-radius-full/edo-radius3a-full-auth-acct-2b-kafka-2b-infra?orgId=1&amp;from=1762360200000&amp;to=1762362179000</t>
  </si>
  <si>
    <t>screencapture-10-116-41-195-grafana-d-edo-radius-full-edo-radius3a-full-auth-acct-2b-kafka-2b-infra-2025-11-06-10_47_29.pdf</t>
  </si>
  <si>
    <t>soak-script</t>
  </si>
  <si>
    <t>TLS_VUS=700 TLS_MAXVUS=1200 TLS_AVG_ITER_SEC=1.5 TLS_TIMEUNIT=1s TLS_STAGES="1m@120,30m@250,1m@0" START_JITTER_SEC=2 SLEEP_JITTER_SEC=0.05 NAS_IP_MAX_INFLIGHT=30 NAS_LOCK_WAIT_MS=60000 EAPOL_TIMEOUT_SEC=60 EXEC_TIMEOUT_SEC=90 RADIUS_ADDRS="10.116.41.195" RADIUS_SECRET=cisco CSV_PATH=./users-10.csv CA_CERT=./ROOT_WIN-AD.cer TLS_PFX_DIR=./certs-eap-tls TLS_PFX_EXT=.pfx PRIVATE_KEY_PASS=12345 TLS_MAC_FILE=./macs.txt EAPOL_NAS_IP_LIST="10.116.42.70,10.116.42.71,10.116.42.72,10.116.42.73,10.116.42.74,10.116.42.75,10.116.42.76,10.116.42.77,10.116.42.78,10.116.42.79" RPS_SECOND_STATS=true RPS_FILE=./tls_rps_sec.log LOG_ALL_FAILURES=true ERROR_LOG=./tls_errors.log EAPOL_BIN=./eapol_test_2.11 K6_WEB_DASHBOARD=true k6-exec run radius_load_tls.js</t>
  </si>
  <si>
    <t>old_5</t>
  </si>
  <si>
    <t>0.596 / 4.02 / 6.38</t>
  </si>
  <si>
    <t>https://10.116.41.195/grafana/d/edo-radius-full/edo-radius3a-full-auth-acct-2b-kafka-2b-infra?orgId=1&amp;from=1762419540000&amp;to=1762419959000</t>
  </si>
  <si>
    <t>TLS_VUS="700" TLS_MAXVUS="1200" TLS_AVG_ITER_SEC="1.5" TLS_TIMEUNIT="1s" TLS_STAGES="30s@120,30s@250,45s@400,30s@250,30s@0"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</si>
  <si>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old_6</t>
  </si>
  <si>
    <t>2025-11-07 10:38:08</t>
  </si>
  <si>
    <t>30s@120,30s@250,45s@400,30s@250,30s@0</t>
  </si>
  <si>
    <t>2025-11-07 10:35:20</t>
  </si>
  <si>
    <t>https://10.116.41.195/grafana/d/edo-radius-full/edo-radius3a-full-auth-acct-2b-kafka-2b-infra?orgId=1&amp;from=1762500920000&amp;to=1762501199000&amp;var-DS_PROMETHEUS=prometheus&amp;var-namespace=edo&amp;var-job=All&amp;var-pod=All&amp;var-node=All&amp;var-kafka_topic=All&amp;var-kafka_group=All&amp;var-status=accepts</t>
  </si>
  <si>
    <t>peak_script_morning</t>
  </si>
  <si>
    <t>old_7</t>
  </si>
  <si>
    <t>2025-11-07 12:29:37</t>
  </si>
  <si>
    <t>2025-11-07 11:57:01</t>
  </si>
  <si>
    <t>https://10.116.41.195/grafana/d/edo-radius-full/edo-radius3a-full-auth-acct-2b-kafka-2b-infra?orgId=1&amp;from=1762505820000&amp;to=1762507919000</t>
  </si>
  <si>
    <t>TLS_VUS="700" TLS_MAXVUS="6000" TLS_AVG_ITER_SEC="1.5" TLS_TIMEUNIT="1s" TLS_STAGES="1m@120,30m@250,1m@0"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</si>
  <si>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old_8</t>
  </si>
  <si>
    <t>2025-11-07 13:28:53</t>
  </si>
  <si>
    <t>1m@300,1m@0,1m@300,1m@0,1m@300,2m@0</t>
  </si>
  <si>
    <t>2025-11-07 13:21:23</t>
  </si>
  <si>
    <t>12852 complete and 723 interrupted iterations</t>
  </si>
  <si>
    <t>https://10.116.41.195/grafana/d/edo-radius-full/edo-radius3a-full-auth-acct-2b-kafka-2b-infra?orgId=1&amp;from=1762510860000&amp;to=1762511460000</t>
  </si>
  <si>
    <t>профиль 300/0/300/0 показывает хорошие результаты</t>
  </si>
  <si>
    <t>TLS_VUS="700" TLS_MAXVUS="3000" TLS_AVG_ITER_SEC="1.5" TLS_TIMEUNIT="1s" TLS_STAGES="1m@300,1m@0,1m@300,1m@0,1m@300,2m@0"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</si>
  <si>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old_9</t>
  </si>
  <si>
    <t>2025-11-07 13:54:22</t>
  </si>
  <si>
    <t>45s@150,45s@220,45s@280,45s@320,45s@360,45s@400,45s@0</t>
  </si>
  <si>
    <t>2025-11-07 13:48:33</t>
  </si>
  <si>
    <t>https://10.116.41.195/grafana/d/edo-radius-full/edo-radius3a-full-auth-acct-2b-kafka-2b-infra?orgId=1&amp;from=1762512513000&amp;to=1762512959000</t>
  </si>
  <si>
    <t>TLS_VUS="700" TLS_MAXVUS="6000" TLS_AVG_ITER_SEC="1.5" TLS_TIMEUNIT="1s" TLS_STAGES="45s@150,45s@220,45s@280,45s@320,45s@360,45s@400,45s@0"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</si>
  <si>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old_10</t>
  </si>
  <si>
    <t>2025-11-07 17:12:22</t>
  </si>
  <si>
    <t>30s@80,30s@160,2m@250,30s@160,30s@0</t>
  </si>
  <si>
    <t>2025-11-07 16:07:52</t>
  </si>
  <si>
    <t>2025-11-07 16:12:22</t>
  </si>
  <si>
    <t>https://10.116.41.195/grafana/d/edo-radius-full/edo-radius3a-full-auth-acct-2b-kafka-2b-infra?orgId=1&amp;from=1762520872000&amp;to=1762521142000</t>
  </si>
  <si>
    <t>old_11</t>
  </si>
  <si>
    <t>2025-11-07 15:40:57</t>
  </si>
  <si>
    <t>2025-11-07 15:35:08</t>
  </si>
  <si>
    <t>https://10.116.41.195/grafana/d/edo-radius-full/edo-radius3a-full-auth-acct-2b-kafka-2b-infra?orgId=1&amp;from=1762518900000&amp;to=1762519260000</t>
  </si>
  <si>
    <t>old_12</t>
  </si>
  <si>
    <t>2025-11-07 16:44:54</t>
  </si>
  <si>
    <t>2025-11-07 16:41:38</t>
  </si>
  <si>
    <t>https://10.116.41.195/grafana/d/edo-radius-full/edo-radius3a-full-auth-acct-2b-kafka-2b-infra?orgId=1&amp;from=1762522898000&amp;to=1762523159000</t>
  </si>
  <si>
    <t>TLS_VUS="700" TLS_MAXVUS="6000" TLS_AVG_ITER_SEC="1.5" TLS_TIMEUNIT="1s" TLS_STAGES="30s@120,30s@250,45s@400,30s@250,30s@0"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</si>
  <si>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old_13</t>
  </si>
  <si>
    <t>2025-11-07 18:14:57</t>
  </si>
  <si>
    <t>1m@120,20m@250,1m@0</t>
  </si>
  <si>
    <t>2025-11-07 17:52:21</t>
  </si>
  <si>
    <t>https://10.116.41.195/grafana/d/edo-radius-full/edo-radius3a-full-auth-acct-2b-kafka-2b-infra?orgId=1&amp;from=1762527141000&amp;to=1762528499000</t>
  </si>
  <si>
    <t>TLS_VUS="700" TLS_MAXVUS="6000" TLS_AVG_ITER_SEC="1.5" TLS_TIMEUNIT="1s" TLS_STAGES="1m@120,20m@250,1m@0"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</si>
  <si>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old_14</t>
  </si>
  <si>
    <t>2025-11-07 21:31:08</t>
  </si>
  <si>
    <t>2025-11-07 21:08:37</t>
  </si>
  <si>
    <t>https://10.116.41.195/grafana/d/edo-radius-full/edo-radius3a-full-auth-acct-2b-kafka-2b-infra?orgId=1&amp;from=1762539021000&amp;to=1762540319000</t>
  </si>
  <si>
    <t>old_15</t>
  </si>
  <si>
    <t>2025-11-07 22:14:35</t>
  </si>
  <si>
    <t>2025-11-07 22:08:49</t>
  </si>
  <si>
    <t>8958 complete and 2152 interrupted iterations - очень длинные итерации, не успели закончиться. Скорее всего, не успевают обработаться</t>
  </si>
  <si>
    <t>https://10.116.41.195/grafana/d/edo-radius-full/edo-radius3a-full-auth-acct-2b-kafka-2b-infra?orgId=1&amp;from=1762542529000&amp;to=1762542995000</t>
  </si>
  <si>
    <t>3</t>
  </si>
  <si>
    <t>8</t>
  </si>
  <si>
    <t>20</t>
  </si>
  <si>
    <t>120</t>
  </si>
  <si>
    <t>old_16</t>
  </si>
  <si>
    <t>2025-11-07 23:34:25</t>
  </si>
  <si>
    <t>60s@150,120s@250,180s@400,180s@250,120s@150</t>
  </si>
  <si>
    <t>2025-11-07 23:22:51</t>
  </si>
  <si>
    <t>50038 complete and 1794 interrupted iterations</t>
  </si>
  <si>
    <t>https://10.116.41.195/grafana/d/edo-radius-full/edo-radius3a-full-auth-acct-2b-kafka-2b-infra?orgId=1&amp;from=1762546971921&amp;to=1762547665044</t>
  </si>
  <si>
    <t>TLS_VUS="700" TLS_MAXVUS="6000" TLS_AVG_ITER_SEC="1.5" TLS_TIMEUNIT="1s" TLS_STAGES="60s@150,120s@250,180s@400,180s@250,120s@150" START_JITTER_SEC="2" SLEEP_JITTER_SEC="0.05" RADIUS_ADDRS="10.116.41.195" RADIUS_SECRET="cisco" EAPOL_NAS_IP_LIST="10.116.42.70,10.116.42.71,10.116.42.72,10.116.42.73,10.116.42.74,10.116.42.75,10.116.42.76,10.116.42.77,10.116.42.78,10.116.42.79" NAS_IP_MAX_INFLIGHT="120"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EAPOL_TIMEOUT_SEC="75" EXEC_TIMEOUT_SEC="150" RPS_SECOND_STATS="true" LOG_ALL_FAILURES="true" K6_WEB_DASHBOARD="true" k6-exec run radius_load_tls.js</t>
  </si>
  <si>
    <t>5</t>
  </si>
  <si>
    <t>2025-11-10 16:59:41</t>
  </si>
  <si>
    <t>60s@40,60s@70,60s@100,60s@130,60s@0</t>
  </si>
  <si>
    <t>2025-11-10 16:54:09</t>
  </si>
  <si>
    <t>много дропов, длина итерации больше минуты</t>
  </si>
  <si>
    <t>https://10.116.41.195/grafana/d/edo-radius-full/edo-radius3a-full-auth-acct-2b-kafka-2b-infra?orgId=1&amp;from=1762782849507&amp;to=1762783181222</t>
  </si>
  <si>
    <t>TLS_VUS="700" TLS_MAXVUS="4000" TLS_AVG_ITER_SEC="1.5" TLS_TIMEUNIT="1s" TLS_STAGES="60s@40,60s@70,60s@100,60s@130,60s@0"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</si>
  <si>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16</t>
  </si>
  <si>
    <t>6</t>
  </si>
  <si>
    <t>2025-11-10 17:06:19</t>
  </si>
  <si>
    <t>5m@130</t>
  </si>
  <si>
    <t>2025-11-10 17:00:44</t>
  </si>
  <si>
    <t>много дропов, длина итерации больше минуты; единственная ошибка - Access_reject</t>
  </si>
  <si>
    <t>https://10.116.41.195/grafana/d/edo-radius-full/edo-radius3a-full-auth-acct-2b-kafka-2b-infra?orgId=1&amp;from=1762783244943&amp;to=1762783579106</t>
  </si>
  <si>
    <t>TLS_VUS="700" TLS_MAXVUS="3000" TLS_AVG_ITER_SEC="1.5" TLS_TIMEUNIT="1s" TLS_STAGES="5m@130"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</si>
  <si>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7</t>
  </si>
  <si>
    <t>2025-11-10 17:42:30</t>
  </si>
  <si>
    <t>20m@100</t>
  </si>
  <si>
    <t>2025-11-10 17:21:59</t>
  </si>
  <si>
    <t>https://10.116.41.195/grafana/d/edo-radius-full/edo-radius3a-full-auth-acct-2b-kafka-2b-infra?orgId=1&amp;from=1762784519494&amp;to=1762785750259</t>
  </si>
  <si>
    <t>реджекты {"timestamp":"2025-11-10T17:25:36","user":"EAP-TLS-LT00002","mac":"00:11:22:16:be:09","nas_ip":"10.116.42.76","radius_server":"10.116.41.195","error_type":"ACCESS_REJECT","exit_code":252,"duration_sec":"11.263","output_preview":"Reading configuration file \\/dev/stdin\ Line: 1 - start of a new network block key_mgmt: 0x8 eap methods - hexdump(len=16): 00 00 00 00 0d 00 00 00 00 00 00 00 00 00 00 00 identity - hexdump_ascii(len=15): 45 41 50 2d 54 4c 53 2d 4c 54 30 30 30 30 32 EAP-TLS-LT00002 private_key - hexdump_"}
{"timestamp":"2025-11-10T17:30:58","user":"EAP-TLS-LT00002","mac":"00:11:22:16:2a:2c","nas_ip":"10.116.42.70","radius_server":"10.116.41.195","error_type":"ACCESS_REJECT","exit_code":252,"duration_sec":"11.465","output_preview":"Reading configuration file \\/dev/stdin\ Line: 1 - start of a new network block key_mgmt: 0x8 eap methods - hexdump(len=16): 00 00 00 00 0d 00 00 00 00 00 00 00 00 00 00 00 identity - hexdump_ascii(len=15): 45 41 50 2d 54 4c 53 2d 4c 54 30 30 30 30 32 EAP-TLS-LT00002 private_key - hexdump_"}
{"timestamp":"2025-11-10T17:38:16","user":"EAP-TLS-LT00001","mac":"00:11:22:19:c6:b6","nas_ip":"10.116.42.79","radius_server":"10.116.41.195","error_type":"ACCESS_REJECT","exit_code":252,"duration_sec":"13.914","output_preview":"Reading configuration file \\/dev/stdin\ Line: 1 - start of a new network block key_mgmt: 0x8 eap methods - hexdump(len=16): 00 00 00 00 0d 00 00 00 00 00 00 00 00 00 00 00 identity - hexdump_ascii(len=15): 45 41 50 2d 54 4c 53 2d 4c 54 30 30 30 30 31 EAP-TLS-LT00001 private_key - hexdump_"}</t>
  </si>
  <si>
    <t>TLS_VUS="700" TLS_MAXVUS="3000" TLS_AVG_ITER_SEC="1.5" TLS_TIMEUNIT="1s" TLS_STAGES="20m@100"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</si>
  <si>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2025-11-10 17:52:34</t>
  </si>
  <si>
    <t>30s@160,3m@100,30s@0</t>
  </si>
  <si>
    <t>2025-11-10 17:48:02</t>
  </si>
  <si>
    <t>https://10.116.41.195/grafana/d/edo-radius-full/edo-radius3a-full-auth-acct-2b-kafka-2b-infra?orgId=1&amp;from=1762786082540&amp;to=1762786354738</t>
  </si>
  <si>
    <t>TLS_VUS="700" TLS_MAXVUS="3000" TLS_AVG_ITER_SEC="1.5" TLS_TIMEUNIT="1s" TLS_STAGES="30s@160,3m@100,30s@0"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</si>
  <si>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13</t>
  </si>
  <si>
    <t>2025-11-11 11:17:48</t>
  </si>
  <si>
    <t>2025-11-11 11:12:38</t>
  </si>
  <si>
    <t>дропов нет, но много (больше 2 процентов) ошибок по таймауту + есть много пересечений по сессиям, поэтому реджекты</t>
  </si>
  <si>
    <t>https://10.116.41.195/grafana/d/edo-radius-full/edo-radius3a-full-auth-acct-2b-kafka-2b-infra?orgId=1&amp;from=1762848758308&amp;to=1762849068864</t>
  </si>
  <si>
    <t>36</t>
  </si>
  <si>
    <t>14</t>
  </si>
  <si>
    <t>2025-11-11 12:44:14</t>
  </si>
  <si>
    <t>2025-11-11 12:38:39</t>
  </si>
  <si>
    <t>https://10.116.41.195/grafana/d/edo-radius-full/edo-radius3a-full-auth-acct-2b-kafka-2b-infra?orgId=1&amp;from=1762853919945&amp;to=1762854254053</t>
  </si>
  <si>
    <t>15</t>
  </si>
  <si>
    <t>2025-11-11 14:04:49</t>
  </si>
  <si>
    <t>2025-11-11 13:44:43</t>
  </si>
  <si>
    <t>https://10.116.41.195/grafana/d/edo-radius-full/edo-radius3a-full-auth-acct-2b-kafka-2b-infra?orgId=1&amp;from=1762857883776&amp;to=1762859089720</t>
  </si>
  <si>
    <t>TLS_STAGES="20m@100" TLS_VUS="400" TLS_MAXVUS="1500" TLS_AVG_ITER_SEC="1.5" TLS_TIMEUNIT="1s" START_JITTER_SEC="2" SLEEP_JITTER_SEC="0.05" RADIUS_ADDRS="10.116.41.195" RADIUS_SECRET="cisco" EAPOL_NAS_IP_LIST="10.116.42.70,10.116.42.71,10.116.42.72,10.116.42.73,10.116.42.74,10.116.42.75,10.116.42.76,10.116.42.77,10.116.42.78,10.116.42.79" NAS_LOCK_WAIT_MS="20000" CA_CERT="./ROOT_WIN-AD.cer" TLS_PFX_DIR="./certs-eap-tls" TLS_PFX_EXT=".pfx" PRIVATE_KEY_PASS="12345" TLS_MAC_FILE="./macs.txt" CSV_PATH="./users-10.csv" RPS_FILE=" ./tls_rps_sec.log" ERROR_LOG=" ./tls_errors.log" EAPOL_BIN="./eapol_test_2.11" EAPOL_TIMEOUT_SEC="60" EXEC_TIMEOUT_SEC="90" RPS_SECOND_STATS="true" LOG_ALL_FAILURES="true" K6_WEB_DASHBOARD="true" k6-exec run radius_load_tls.js</t>
  </si>
  <si>
    <t>2025-11-11 14:30:53</t>
  </si>
  <si>
    <t>2025-11-11 14:26:43</t>
  </si>
  <si>
    <t>https://10.116.41.195/grafana/d/edo-radius-full/edo-radius3a-full-auth-acct-2b-kafka-2b-infra?orgId=1&amp;from=1762860403852&amp;to=1762860653860</t>
  </si>
  <si>
    <t>17</t>
  </si>
  <si>
    <t>2025-11-11 02:28:09</t>
  </si>
  <si>
    <t>2025-11-11 02:23:09</t>
  </si>
  <si>
    <t>https://10.116.41.195/grafana/d/edo-radius-full/edo-radius3a-full-auth-acct-2b-kafka-2b-infra?orgId=1&amp;from=1762816989916&amp;to=1762817289934</t>
  </si>
  <si>
    <t>TLS_VUS="400" TLS_MAXVUS="1500" TLS_AVG_ITER_SEC="1.5" TLS_TIMEUNIT="1s" TLS_STAGES="60s@40,60s@70,60s@100,60s@130,60s@0" START_JITTER_SEC="2" SLEEP_JITTER_SEC="0.05" RADIUS_ADDRS="10.116.41.195" RADIUS_SECRET="cisco" EAPOL_NAS_IP_LIST="10.116.42.70,10.116.42.71,10.116.42.72,10.116.42.73,10.116.42.74,10.116.42.75,10.116.42.76,10.116.42.77,10.116.42.78,10.116.42.79" NAS_LOCK_WAIT_MS="20000"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</si>
  <si>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18</t>
  </si>
  <si>
    <t>2025-11-11 02:41:08</t>
  </si>
  <si>
    <t>2025-11-11 02:36:08</t>
  </si>
  <si>
    <t>https://10.116.41.195/grafana/d/edo-radius-full/edo-radius3a-full-auth-acct-2b-kafka-2b-infra?orgId=1&amp;from=1762817768169&amp;to=1762818068467</t>
  </si>
  <si>
    <t>TLS_VUS="400" TLS_MAXVUS="1500" TLS_AVG_ITER_SEC="1.5" TLS_TIMEUNIT="1s" TLS_STAGES="5m@130" START_JITTER_SEC="2" SLEEP_JITTER_SEC="0.05" RADIUS_ADDRS="10.116.41.195" RADIUS_SECRET="cisco" EAPOL_NAS_IP_LIST="10.116.42.70,10.116.42.71,10.116.42.72,10.116.42.73,10.116.42.74,10.116.42.75,10.116.42.76,10.116.42.77,10.116.42.78,10.116.42.79" NAS_LOCK_WAIT_MS="20000"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</si>
  <si>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19</t>
  </si>
  <si>
    <t>2025-11-11 03:04:34</t>
  </si>
  <si>
    <t>2025-11-11 02:44:34</t>
  </si>
  <si>
    <t>https://10.116.41.195/grafana/d/edo-radius-full/edo-radius3a-full-auth-acct-2b-kafka-2b-infra?orgId=1&amp;from=1762818274496&amp;to=1762819474790</t>
  </si>
  <si>
    <t>TLS_VUS="400" TLS_MAXVUS="1500" TLS_AVG_ITER_SEC="1.5" TLS_TIMEUNIT="1s" TLS_STAGES="20m@100" START_JITTER_SEC="2" SLEEP_JITTER_SEC="0.05" RADIUS_ADDRS="10.116.41.195" RADIUS_SECRET="cisco" EAPOL_NAS_IP_LIST="10.116.42.70,10.116.42.71,10.116.42.72,10.116.42.73,10.116.42.74,10.116.42.75,10.116.42.76,10.116.42.77,10.116.42.78,10.116.42.79" NAS_LOCK_WAIT_MS="20000"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</si>
  <si>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2025-11-11 03:11:31</t>
  </si>
  <si>
    <t>2025-11-11 03:07:31</t>
  </si>
  <si>
    <t>https://10.116.41.195/grafana/d/edo-radius-full/edo-radius3a-full-auth-acct-2b-kafka-2b-infra?orgId=1&amp;from=1762819651719&amp;to=1762819891740</t>
  </si>
  <si>
    <t>21</t>
  </si>
  <si>
    <t>2025-11-11 03:44:36</t>
  </si>
  <si>
    <t>2025-11-11 03:39:36</t>
  </si>
  <si>
    <t>https://10.116.41.195/grafana/d/edo-radius-full/edo-radius3a-full-auth-acct-2b-kafka-2b-infra?orgId=1&amp;from=1762821576229&amp;to=1762821876258</t>
  </si>
  <si>
    <t>22</t>
  </si>
  <si>
    <t>2025-11-11 03:50:58</t>
  </si>
  <si>
    <t>2025-11-11 03:45:55</t>
  </si>
  <si>
    <t>https://10.116.41.195/grafana/d/edo-radius-full/edo-radius3a-full-auth-acct-2b-kafka-2b-infra?orgId=1&amp;from=1762821955614&amp;to=1762822258270</t>
  </si>
  <si>
    <t>23</t>
  </si>
  <si>
    <t>2025-11-11 04:13:29</t>
  </si>
  <si>
    <t>2025-11-11 03:53:25</t>
  </si>
  <si>
    <t>https://10.116.41.195/grafana/d/edo-radius-full/edo-radius3a-full-auth-acct-2b-kafka-2b-infra?orgId=1&amp;from=1762822405327&amp;to=1762823609324</t>
  </si>
  <si>
    <t>24</t>
  </si>
  <si>
    <t>2025-11-11 14:46:13</t>
  </si>
  <si>
    <t>2025-11-11 14:42:13</t>
  </si>
  <si>
    <t>https://10.116.41.195/grafana/d/edo-radius-full/edo-radius3a-full-auth-acct-2b-kafka-2b-infra?orgId=1&amp;from=1762861333398&amp;to=1762861573416</t>
  </si>
  <si>
    <t>TLS_VUS="400" TLS_MAXVUS="1500" TLS_AVG_ITER_SEC="1.5" TLS_TIMEUNIT="1s" TLS_STAGES="30s@160,3m@100,30s@0" START_JITTER_SEC="2" SLEEP_JITTER_SEC="0.05" RADIUS_ADDRS="10.116.41.195" RADIUS_SECRET="cisco" EAPOL_NAS_IP_LIST="10.116.42.70,10.116.42.71,10.116.42.72,10.116.42.73,10.116.42.74,10.116.42.75,10.116.42.76,10.116.42.77,10.116.42.78,10.116.42.79" NAS_LOCK_WAIT_MS="20000"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K6_WEB_DASHBOARD="true" k6-exec run radius_load_tls.js</t>
  </si>
  <si>
    <t>25</t>
  </si>
  <si>
    <t>2025-11-11 19:06:47</t>
  </si>
  <si>
    <t>2025-11-11 19:01:37</t>
  </si>
  <si>
    <t>https://10.116.41.195/grafana/d/edo-radius-full/edo-radius3a-full-auth-acct-2b-kafka-2b-infra?orgId=1&amp;from=1762876897073&amp;to=1762877207153</t>
  </si>
  <si>
    <t>48</t>
  </si>
  <si>
    <t>26</t>
  </si>
  <si>
    <t>2025-11-11 19:16:15</t>
  </si>
  <si>
    <t>2025-11-11 19:10:31</t>
  </si>
  <si>
    <t>https://10.116.41.195/grafana/d/edo-radius-full/edo-radius3a-full-auth-acct-2b-kafka-2b-infra?orgId=1&amp;from=1762877431989&amp;to=1762877775928</t>
  </si>
  <si>
    <t>28</t>
  </si>
  <si>
    <t>2025-11-11 19:22:57</t>
  </si>
  <si>
    <t>2025-11-11 19:18:41</t>
  </si>
  <si>
    <t>Очень сильный дисбаланс по загрузке ядер: 10.116.41.196:9100
20.7
10.116.41.197:9100
87.1
10.116.41.198:9100
50.8</t>
  </si>
  <si>
    <t>https://10.116.41.195/grafana/d/edo-radius-full/edo-radius3a-full-auth-acct-2b-kafka-2b-infra?orgId=1&amp;from=1762877921514&amp;to=1762878177217</t>
  </si>
  <si>
    <t>29</t>
  </si>
  <si>
    <t>2025-11-11 18:23:01</t>
  </si>
  <si>
    <t>2025-11-11 18:18:01</t>
  </si>
  <si>
    <t>https://10.116.41.195/grafana/d/edo-radius-full/edo-radius3a-full-auth-acct-2b-kafka-2b-infra?orgId=1&amp;from=1762874281952&amp;to=1762874581974</t>
  </si>
  <si>
    <t>30</t>
  </si>
  <si>
    <t>2025-11-11 18:30:19</t>
  </si>
  <si>
    <t>2025-11-11 18:25:16</t>
  </si>
  <si>
    <t>https://10.116.41.195/grafana/d/edo-radius-full/edo-radius3a-full-auth-acct-2b-kafka-2b-infra?orgId=1&amp;from=1762874716950&amp;to=1762875019131</t>
  </si>
  <si>
    <t>31</t>
  </si>
  <si>
    <t>2025-11-11 18:51:38</t>
  </si>
  <si>
    <t>2025-11-11 18:31:38</t>
  </si>
  <si>
    <t>https://10.116.41.195/grafana/d/edo-radius-full/edo-radius3a-full-auth-acct-2b-kafka-2b-infra?orgId=1&amp;from=1762875098679&amp;to=1762876298989</t>
  </si>
  <si>
    <t>32</t>
  </si>
  <si>
    <t>2025-11-11 18:14:24</t>
  </si>
  <si>
    <t>2025-11-11 18:10:24</t>
  </si>
  <si>
    <t>https://10.116.41.195/grafana/d/edo-radius-full/edo-radius3a-full-auth-acct-2b-kafka-2b-infra?orgId=1&amp;from=1762873824794&amp;to=1762874064812</t>
  </si>
  <si>
    <t>33</t>
  </si>
  <si>
    <t>2025-11-11 17:22:06</t>
  </si>
  <si>
    <t>2025-11-11 17:17:06</t>
  </si>
  <si>
    <t>https://10.116.41.195/grafana/d/edo-radius-full/edo-radius3a-full-auth-acct-2b-kafka-2b-infra?orgId=1&amp;from=1762870626029&amp;to=1762870926045</t>
  </si>
  <si>
    <t>34</t>
  </si>
  <si>
    <t>2025-11-11 17:44:38</t>
  </si>
  <si>
    <t>2025-11-11 17:24:37</t>
  </si>
  <si>
    <t>https://10.116.41.195/grafana/d/edo-radius-full/edo-radius3a-full-auth-acct-2b-kafka-2b-infra?orgId=1&amp;from=1762871077885&amp;to=1762872278236</t>
  </si>
  <si>
    <t>35</t>
  </si>
  <si>
    <t>2025-11-11 17:55:19</t>
  </si>
  <si>
    <t>2025-11-11 17:50:18</t>
  </si>
  <si>
    <t>https://10.116.41.195/grafana/d/edo-radius-full/edo-radius3a-full-auth-acct-2b-kafka-2b-infra?orgId=1&amp;from=1762872618823&amp;to=1762872919767</t>
  </si>
  <si>
    <t>2025-11-11 18:04:46</t>
  </si>
  <si>
    <t>2025-11-11 18:00:43</t>
  </si>
  <si>
    <t>https://10.116.41.195/grafana/d/edo-radius-full/edo-radius3a-full-auth-acct-2b-kafka-2b-infra?orgId=1&amp;from=1762873243142&amp;to=1762873486145</t>
  </si>
  <si>
    <t>TLS_VUS="700" TLS_MAXVUS="6000" TLS_AVG_ITER_SEC="1.5" TLS_TIMEUNIT="1s" TLS_STAGES="30s@160,3m@100,30s@0" START_JITTER_SEC="2" SLEEP_JITTER_SEC="0.05" RADIUS_ADDRS="10.116.41.195" RADIUS_SECRET="cisco" EAPOL_NAS_IP_LIST="10.116.42.70,10.116.42.71,10.116.42.72,10.116.42.73,10.116.42.74,10.116.42.75,10.116.42.76,10.116.42.77,10.116.42.78,10.116.42.79" NAS_IP_MAX_INFLIGHT="30" NAS_LOCK_WAIT_MS="60000" CA_CERT="./ROOT_WIN-AD.cer" TLS_PFX_DIR="./certs-eap-tls" TLS_PFX_EXT=".pfx" PRIVATE_KEY_PASS="12345" TLS_MAC_FILE="./macs.txt" CSV_PATH="./users-10.csv" RPS_FILE="./tls_rps_sec.log" ERROR_LOG="./tls_errors.log" EAPOL_BIN="./eapol_test_2.11" EAPOL_TIMEOUT_SEC="60" EXEC_TIMEOUT_SEC="90" RPS_SECOND_STATS="true" LOG_ALL_FAILURES="true" k6-exec run radius_load_tls.js</t>
  </si>
  <si>
    <t>37</t>
  </si>
  <si>
    <t>2025-11-11 20:05:52</t>
  </si>
  <si>
    <t>2025-11-11 20:00:39</t>
  </si>
  <si>
    <t>Сильный дисбаланс по ядрам: 10.116.41.196:9100
22.6
10.116.41.197:9100
90.8
10.116.41.198:9100
55.5</t>
  </si>
  <si>
    <t>https://10.116.41.195/grafana/d/edo-radius-full/edo-radius3a-full-auth-acct-2b-kafka-2b-infra?orgId=1&amp;from=1762880439497&amp;to=1762880752196</t>
  </si>
  <si>
    <t>64</t>
  </si>
  <si>
    <t>38</t>
  </si>
  <si>
    <t>2025-11-11 20:14:29</t>
  </si>
  <si>
    <t>2025-11-11 20:08:52</t>
  </si>
  <si>
    <t>Загрузка ноды с БД больше - 24%</t>
  </si>
  <si>
    <t>https://10.116.41.195/grafana/d/edo-radius-full/edo-radius3a-full-auth-acct-2b-kafka-2b-infra?orgId=1&amp;from=1762880932033&amp;to=1762881269186</t>
  </si>
  <si>
    <t>39</t>
  </si>
  <si>
    <t>2025-11-11 20:37:52</t>
  </si>
  <si>
    <t>2025-11-11 20:17:28</t>
  </si>
  <si>
    <t>сильный дисбаланс по использованию ядер</t>
  </si>
  <si>
    <t>https://10.116.41.195/grafana/d/edo-radius-full/edo-radius3a-full-auth-acct-2b-kafka-2b-infra?orgId=1&amp;from=1762881448027&amp;to=1762882672572</t>
  </si>
  <si>
    <t>40</t>
  </si>
  <si>
    <t>2025-11-11 20:44:21</t>
  </si>
  <si>
    <t>2025-11-11 20:39:37</t>
  </si>
  <si>
    <t>https://10.116.41.195/grafana/d/edo-radius-full/edo-radius3a-full-auth-acct-2b-kafka-2b-infra?orgId=1&amp;from=1762882777227&amp;to=1762883061019</t>
  </si>
  <si>
    <t>41</t>
  </si>
  <si>
    <t>2025-11-12 00:11:21</t>
  </si>
  <si>
    <t>2025-11-12 00:06:21</t>
  </si>
  <si>
    <t>https://10.116.41.195/grafana/d/edo-radius-full/edo-radius3a-full-auth-acct-2b-kafka-2b-infra?orgId=1&amp;from=1762895181398&amp;to=1762895481425</t>
  </si>
  <si>
    <t>42</t>
  </si>
  <si>
    <t>2025-11-12 00:28:15</t>
  </si>
  <si>
    <t>2025-11-12 00:23:15</t>
  </si>
  <si>
    <t>https://10.116.41.195/grafana/d/edo-radius-full/edo-radius3a-full-auth-acct-2b-kafka-2b-infra?orgId=1&amp;from=1762896195270&amp;to=1762896495712</t>
  </si>
  <si>
    <t>43</t>
  </si>
  <si>
    <t>2025-11-12 00:52:02</t>
  </si>
  <si>
    <t>2025-11-12 00:32:02</t>
  </si>
  <si>
    <t>https://10.116.41.195/grafana/d/edo-radius-full/edo-radius3a-full-auth-acct-2b-kafka-2b-infra?orgId=1&amp;from=1762896722202&amp;to=1762897922533</t>
  </si>
  <si>
    <t>44</t>
  </si>
  <si>
    <t>2025-11-12 01:02:26</t>
  </si>
  <si>
    <t>2025-11-12 00:58:26</t>
  </si>
  <si>
    <t>загрузка ноды с БД по памяти еще больше: 10.116.41.199:9100
26.6</t>
  </si>
  <si>
    <t>https://10.116.41.195/grafana/d/edo-radius-full/edo-radius3a-full-auth-acct-2b-kafka-2b-infra?orgId=1&amp;from=1762898306500&amp;to=1762898546523</t>
  </si>
  <si>
    <t>45</t>
  </si>
  <si>
    <t>2025-11-12 01:28:36</t>
  </si>
  <si>
    <t>2025-11-12 01:23:36</t>
  </si>
  <si>
    <t>https://10.116.41.195/grafana/d/edo-radius-full/edo-radius3a-full-auth-acct-2b-kafka-2b-infra?orgId=1&amp;from=1762899816359&amp;to=1762900116378</t>
  </si>
  <si>
    <t>46</t>
  </si>
  <si>
    <t>2025-11-12 01:45:38</t>
  </si>
  <si>
    <t>2025-11-12 01:40:35</t>
  </si>
  <si>
    <t>https://10.116.41.195/grafana/d/edo-radius-full/edo-radius3a-full-auth-acct-2b-kafka-2b-infra?orgId=1&amp;from=1762900835893&amp;to=1762901138708</t>
  </si>
  <si>
    <t>47</t>
  </si>
  <si>
    <t>2025-11-12 02:07:14</t>
  </si>
  <si>
    <t>2025-11-12 01:47:13</t>
  </si>
  <si>
    <t>https://10.116.41.195/grafana/d/edo-radius-full/edo-radius3a-full-auth-acct-2b-kafka-2b-infra?orgId=1&amp;from=1762901233892&amp;to=1762902434220</t>
  </si>
  <si>
    <t>2025-11-12 02:14:40</t>
  </si>
  <si>
    <t>2025-11-12 02:10:40</t>
  </si>
  <si>
    <t>https://10.116.41.195/grafana/d/edo-radius-full/edo-radius3a-full-auth-acct-2b-kafka-2b-infra?orgId=1&amp;from=1762902640202&amp;to=1762902880223</t>
  </si>
  <si>
    <t>49</t>
  </si>
  <si>
    <t>2025-11-12 12:28:33</t>
  </si>
  <si>
    <t>2025-11-12 12:23:32</t>
  </si>
  <si>
    <t>https://10.116.41.195/grafana/d/edo-radius-full/edo-radius3a-full-auth-acct-2b-kafka-2b-infra?orgId=1&amp;from=1762939412977&amp;to=1762939713012</t>
  </si>
  <si>
    <t>12</t>
  </si>
  <si>
    <t>50</t>
  </si>
  <si>
    <t>2025-11-12 12:38:22</t>
  </si>
  <si>
    <t>2025-11-12 12:32:39</t>
  </si>
  <si>
    <t>https://10.116.41.195/grafana/d/edo-radius-full/edo-radius3a-full-auth-acct-2b-kafka-2b-infra?orgId=1&amp;from=1762939959667&amp;to=1762940302183</t>
  </si>
  <si>
    <t>51</t>
  </si>
  <si>
    <t>2025-11-12 13:03:04</t>
  </si>
  <si>
    <t>2025-11-12 12:42:28</t>
  </si>
  <si>
    <t>https://10.116.41.195/grafana/d/edo-radius-full/edo-radius3a-full-auth-acct-2b-kafka-2b-infra?orgId=1&amp;from=1762940548623&amp;to=1762941784228</t>
  </si>
  <si>
    <t>52</t>
  </si>
  <si>
    <t>2025-11-12 13:11:11</t>
  </si>
  <si>
    <t>2025-11-12 13:06:48</t>
  </si>
  <si>
    <t>https://10.116.41.195/grafana/d/edo-radius-full/edo-radius3a-full-auth-acct-2b-kafka-2b-infra?orgId=1&amp;from=1762942008410&amp;to=1762942271079</t>
  </si>
  <si>
    <t>53</t>
  </si>
  <si>
    <t>2025-11-12 11:29:38</t>
  </si>
  <si>
    <t>2025-11-12 11:24:38</t>
  </si>
  <si>
    <t>https://10.116.41.195/grafana/d/edo-radius-full/edo-radius3a-full-auth-acct-2b-kafka-2b-infra?orgId=1&amp;from=1762935878904&amp;to=1762936178922</t>
  </si>
  <si>
    <t>54</t>
  </si>
  <si>
    <t>2025-11-12 11:37:42</t>
  </si>
  <si>
    <t>2025-11-12 11:32:41</t>
  </si>
  <si>
    <t>https://10.116.41.195/grafana/d/edo-radius-full/edo-radius3a-full-auth-acct-2b-kafka-2b-infra?orgId=1&amp;from=1762936361850&amp;to=1762936662761</t>
  </si>
  <si>
    <t>55</t>
  </si>
  <si>
    <t>2025-11-12 12:05:15</t>
  </si>
  <si>
    <t>2025-11-12 11:45:14</t>
  </si>
  <si>
    <t>https://10.116.41.195/grafana/d/edo-radius-full/edo-radius3a-full-auth-acct-2b-kafka-2b-infra?orgId=1&amp;from=1762937114936&amp;to=1762938315250</t>
  </si>
  <si>
    <t>56</t>
  </si>
  <si>
    <t>2025-11-12 12:14:33</t>
  </si>
  <si>
    <t>2025-11-12 12:10:33</t>
  </si>
  <si>
    <t>https://10.116.41.195/grafana/d/edo-radius-full/edo-radius3a-full-auth-acct-2b-kafka-2b-infra?orgId=1&amp;from=1762938633393&amp;to=1762938873422</t>
  </si>
  <si>
    <t>57</t>
  </si>
  <si>
    <t>2025-11-12 10:25:19</t>
  </si>
  <si>
    <t>2025-11-12 10:20:19</t>
  </si>
  <si>
    <t>https://10.116.41.195/grafana/d/edo-radius-full/edo-radius3a-full-auth-acct-2b-kafka-2b-infra?orgId=1&amp;from=1762932019508&amp;to=1762932319525</t>
  </si>
  <si>
    <t>58</t>
  </si>
  <si>
    <t>2025-11-12 10:36:14</t>
  </si>
  <si>
    <t>2025-11-12 10:31:13</t>
  </si>
  <si>
    <t>https://10.116.41.195/grafana/d/edo-radius-full/edo-radius3a-full-auth-acct-2b-kafka-2b-infra?orgId=1&amp;from=1762932673523&amp;to=1762932974744</t>
  </si>
  <si>
    <t>59</t>
  </si>
  <si>
    <t>2025-11-12 11:03:17</t>
  </si>
  <si>
    <t>2025-11-12 10:43:16</t>
  </si>
  <si>
    <t>https://10.116.41.195/grafana/d/edo-radius-full/edo-radius3a-full-auth-acct-2b-kafka-2b-infra?orgId=1&amp;from=1762933396768&amp;to=1762934597102</t>
  </si>
  <si>
    <t>60</t>
  </si>
  <si>
    <t>2025-11-12 11:11:09</t>
  </si>
  <si>
    <t>2025-11-12 11:07:09</t>
  </si>
  <si>
    <t>https://10.116.41.195/grafana/d/edo-radius-full/edo-radius3a-full-auth-acct-2b-kafka-2b-infra?orgId=1&amp;from=1762934829801&amp;to=1762935069818</t>
  </si>
  <si>
    <t>61</t>
  </si>
  <si>
    <t>2025-11-12 13:38:08</t>
  </si>
  <si>
    <t>2025-11-12 13:33:05</t>
  </si>
  <si>
    <t>https://10.116.41.195/grafana/d/edo-radius-full/edo-radius3a-full-auth-acct-2b-kafka-2b-infra?orgId=1&amp;from=1762943585995&amp;to=1762943888902</t>
  </si>
  <si>
    <t>62</t>
  </si>
  <si>
    <t>2025-11-12 13:45:44</t>
  </si>
  <si>
    <t>2025-11-12 13:39:43</t>
  </si>
  <si>
    <t>https://10.116.41.195/grafana/d/edo-radius-full/edo-radius3a-full-auth-acct-2b-kafka-2b-infra?orgId=1&amp;from=1762943983719&amp;to=1762944344604</t>
  </si>
  <si>
    <t>63</t>
  </si>
  <si>
    <t>2025-11-12 14:11:00</t>
  </si>
  <si>
    <t>2025-11-12 13:50:36</t>
  </si>
  <si>
    <t>В процессе троттлинг процессора достиг 100%</t>
  </si>
  <si>
    <t>https://10.116.41.195/grafana/d/edo-radius-full/edo-radius3a-full-auth-acct-2b-kafka-2b-infra?orgId=1&amp;from=1762944636348&amp;to=1762945860093</t>
  </si>
  <si>
    <t>2025-11-12 14:27:51</t>
  </si>
  <si>
    <t>2025-11-12 14:23:21</t>
  </si>
  <si>
    <t>https://10.116.41.195/grafana/d/edo-radius-full/edo-radius3a-full-auth-acct-2b-kafka-2b-infra?orgId=1&amp;from=1762946601391&amp;to=1762946871347</t>
  </si>
  <si>
    <t>65</t>
  </si>
  <si>
    <t>2025-11-12 14:44:14</t>
  </si>
  <si>
    <t>2025-11-12 14:39:14</t>
  </si>
  <si>
    <t>https://10.116.41.195/grafana/d/edo-radius-full/edo-radius3a-full-auth-acct-2b-kafka-2b-infra?orgId=1&amp;from=1762947554330&amp;to=1762947854348</t>
  </si>
  <si>
    <t>66</t>
  </si>
  <si>
    <t>2025-11-12 14:57:19</t>
  </si>
  <si>
    <t>2025-11-12 14:52:16</t>
  </si>
  <si>
    <t>https://10.116.41.195/grafana/d/edo-radius-full/edo-radius3a-full-auth-acct-2b-kafka-2b-infra?orgId=1&amp;from=1762948336472&amp;to=1762948639707</t>
  </si>
  <si>
    <t>67</t>
  </si>
  <si>
    <t>2025-11-12 15:20:24</t>
  </si>
  <si>
    <t>2025-11-12 15:00:23</t>
  </si>
  <si>
    <t>https://10.116.41.195/grafana/d/edo-radius-full/edo-radius3a-full-auth-acct-2b-kafka-2b-infra?orgId=1&amp;from=1762948823466&amp;to=1762950024923</t>
  </si>
  <si>
    <t>68</t>
  </si>
  <si>
    <t>2025-11-12 15:27:01</t>
  </si>
  <si>
    <t>2025-11-12 15:23:00</t>
  </si>
  <si>
    <t>https://10.116.41.195/grafana/d/edo-radius-full/edo-radius3a-full-auth-acct-2b-kafka-2b-infra?orgId=1&amp;from=1762950180986&amp;to=1762950421133</t>
  </si>
  <si>
    <t>69</t>
  </si>
  <si>
    <t>2025-11-12 15:33:42</t>
  </si>
  <si>
    <t>2025-11-12 15:28:42</t>
  </si>
  <si>
    <t>https://10.116.41.195/grafana/d/edo-radius-full/edo-radius3a-full-auth-acct-2b-kafka-2b-infra?orgId=1&amp;from=1762950522248&amp;to=1762950822269</t>
  </si>
  <si>
    <t>70</t>
  </si>
  <si>
    <t>2025-11-12 15:46:59</t>
  </si>
  <si>
    <t>2025-11-12 15:41:58</t>
  </si>
  <si>
    <t>https://10.116.41.195/grafana/d/edo-radius-full/edo-radius3a-full-auth-acct-2b-kafka-2b-infra?orgId=1&amp;from=1762951318667&amp;to=1762951619139</t>
  </si>
  <si>
    <t>71</t>
  </si>
  <si>
    <t>2025-11-12 16:57:52</t>
  </si>
  <si>
    <t>2025-11-12 16:37:52</t>
  </si>
  <si>
    <t>https://10.116.41.195/grafana/d/edo-radius-full/edo-radius3a-full-auth-acct-2b-kafka-2b-infra?orgId=1&amp;from=1762954672300&amp;to=1762955872543</t>
  </si>
  <si>
    <t>72</t>
  </si>
  <si>
    <t>2025-11-12 15:52:02</t>
  </si>
  <si>
    <t>2025-11-12 15:48:02</t>
  </si>
  <si>
    <t>https://10.116.41.195/grafana/d/edo-radius-full/edo-radius3a-full-auth-acct-2b-kafka-2b-infra?orgId=1&amp;from=1762951682802&amp;to=1762951922828</t>
  </si>
  <si>
    <t>73</t>
  </si>
  <si>
    <t>2025-11-12 19:25:58</t>
  </si>
  <si>
    <t>2025-11-12 19:20:54</t>
  </si>
  <si>
    <t>нет данных</t>
  </si>
  <si>
    <t>https://10.116.41.195/grafana/d/edo-radius-full/edo-radius3a-full-auth-acct-2b-kafka-2b-infra?orgId=1&amp;from=1762964454578&amp;to=1762964758550</t>
  </si>
  <si>
    <t>74</t>
  </si>
  <si>
    <t>2025-11-12 19:35:19</t>
  </si>
  <si>
    <t>2025-11-12 19:29:29</t>
  </si>
  <si>
    <t>https://10.116.41.195/grafana/d/edo-radius-full/edo-radius3a-full-auth-acct-2b-kafka-2b-infra?orgId=1&amp;from=1762964969944&amp;to=1762965319385</t>
  </si>
  <si>
    <t>75</t>
  </si>
  <si>
    <t>2025-11-13 15:15:02</t>
  </si>
  <si>
    <t>2025-11-13 14:54:17</t>
  </si>
  <si>
    <t>https://10.116.41.195/grafana/d/edo-radius-full/edo-radius3a-full-auth-acct-2b-kafka-2b-infra?orgId=1&amp;from=1763034857048&amp;to=1763036102160</t>
  </si>
  <si>
    <t>77</t>
  </si>
  <si>
    <t>2025-11-12 18:42:35</t>
  </si>
  <si>
    <t>2025-11-12 18:37:35</t>
  </si>
  <si>
    <t>https://10.116.41.195/grafana/d/edo-radius-full/edo-radius3a-full-auth-acct-2b-kafka-2b-infra?orgId=1&amp;from=1762961855924&amp;to=1762962155944</t>
  </si>
  <si>
    <t>78</t>
  </si>
  <si>
    <t>2025-11-12 18:49:29</t>
  </si>
  <si>
    <t>2025-11-12 18:44:29</t>
  </si>
  <si>
    <t>https://10.116.41.195/grafana/d/edo-radius-full/edo-radius3a-full-auth-acct-2b-kafka-2b-infra?orgId=1&amp;from=1762962269614&amp;to=1762962569945</t>
  </si>
  <si>
    <t>79</t>
  </si>
  <si>
    <t>2025-11-12 19:12:52</t>
  </si>
  <si>
    <t>2025-11-12 18:52:52</t>
  </si>
  <si>
    <t>https://10.116.41.195/grafana/d/edo-radius-full/edo-radius3a-full-auth-acct-2b-kafka-2b-infra?orgId=1&amp;from=1762962772584&amp;to=1762963972913</t>
  </si>
  <si>
    <t>81</t>
  </si>
  <si>
    <t>2025-11-12 17:46:41</t>
  </si>
  <si>
    <t>2025-11-12 17:41:41</t>
  </si>
  <si>
    <t>https://10.116.41.195/grafana/d/edo-radius-full/edo-radius3a-full-auth-acct-2b-kafka-2b-infra?orgId=1&amp;from=1762958501029&amp;to=1762958801049</t>
  </si>
  <si>
    <t>82</t>
  </si>
  <si>
    <t>2025-11-12 17:58:11</t>
  </si>
  <si>
    <t>2025-11-12 17:53:11</t>
  </si>
  <si>
    <t>https://10.116.41.195/grafana/d/edo-radius-full/edo-radius3a-full-auth-acct-2b-kafka-2b-infra?orgId=1&amp;from=1762959191102&amp;to=1762959491537</t>
  </si>
  <si>
    <t>83</t>
  </si>
  <si>
    <t>2025-11-12 18:28:18</t>
  </si>
  <si>
    <t>2025-11-12 18:08:16</t>
  </si>
  <si>
    <t>https://10.116.41.195/grafana/d/edo-radius-full/edo-radius3a-full-auth-acct-2b-kafka-2b-infra?orgId=1&amp;from=1762960096308&amp;to=1762961298447</t>
  </si>
  <si>
    <t>84</t>
  </si>
  <si>
    <t>2025-11-12 18:06:01</t>
  </si>
  <si>
    <t>2025-11-12 18:02:00</t>
  </si>
  <si>
    <t>https://10.116.41.195/grafana/d/edo-radius-full/edo-radius3a-full-auth-acct-2b-kafka-2b-infra?orgId=1&amp;from=1762959720983&amp;to=1762959961003</t>
  </si>
  <si>
    <t>85</t>
  </si>
  <si>
    <t>2025-11-13 16:17:20</t>
  </si>
  <si>
    <t>2025-11-13 16:12:00</t>
  </si>
  <si>
    <t>Нагрузка на ноду с хранилищем выше: 10.116.41.199:9100
24.8</t>
  </si>
  <si>
    <t>https://10.116.41.195/grafana/d/edo-radius-full/edo-radius3a-full-auth-acct-2b-kafka-2b-infra?orgId=1&amp;from=1763039520927&amp;to=1763039840145</t>
  </si>
  <si>
    <t>86</t>
  </si>
  <si>
    <t>2025-11-13 16:29:07</t>
  </si>
  <si>
    <t>2025-11-13 16:23:32</t>
  </si>
  <si>
    <t>Использование пямяти нодой БД явно больше, чем нодами с радиусом (до 24.6)</t>
  </si>
  <si>
    <t>https://10.116.41.195/grafana/d/edo-radius-full/edo-radius3a-full-auth-acct-2b-kafka-2b-infra?orgId=1&amp;from=1763040212846&amp;to=1763040547568</t>
  </si>
  <si>
    <t>87</t>
  </si>
  <si>
    <t>2025-11-13 17:06:16</t>
  </si>
  <si>
    <t>2025-11-13 16:45:43</t>
  </si>
  <si>
    <t>Использование пямяти нодой БД явно больше, чем нодами с радиусом
10.116.41.196:9100
22.0
10.116.41.197:9100
16.1
10.116.41.198:9100
18.8
10.116.41.199:9100
25.1</t>
  </si>
  <si>
    <t>https://10.116.41.195/grafana/d/edo-radius-full/edo-radius3a-full-auth-acct-2b-kafka-2b-infra?orgId=1&amp;from=1763041543548&amp;to=1763042776839</t>
  </si>
  <si>
    <t>88</t>
  </si>
  <si>
    <t>2025-11-13 16:44:31</t>
  </si>
  <si>
    <t>2025-11-13 16:40:07</t>
  </si>
  <si>
    <t>Использование пямяти нодой БД явно больше, чем нодами с радиусом
 10.116.41.196:9100
20.9
10.116.41.197:9100
14.3
10.116.41.198:9100
18.0
10.116.41.199:9100
25.2</t>
  </si>
  <si>
    <t>https://10.116.41.195/grafana/d/edo-radius-full/edo-radius3a-full-auth-acct-2b-kafka-2b-infra?orgId=1&amp;from=1763041207868&amp;to=1763041471164</t>
  </si>
  <si>
    <t>89</t>
  </si>
  <si>
    <t>2025-11-14 10:29:14</t>
  </si>
  <si>
    <t>2025-11-14 10:24:14</t>
  </si>
  <si>
    <t>https://10.116.41.195/grafana/d/edo-radius-full/edo-radius3a-full-auth-acct-2b-kafka-2b-infra?orgId=1&amp;from=1763105054402&amp;to=1763105354425</t>
  </si>
  <si>
    <t>90</t>
  </si>
  <si>
    <t>2025-11-14 10:37:40</t>
  </si>
  <si>
    <t>2025-11-14 10:32:40</t>
  </si>
  <si>
    <t>https://10.116.41.195/grafana/d/edo-radius-full/edo-radius3a-full-auth-acct-2b-kafka-2b-infra?orgId=1&amp;from=1763105560506&amp;to=1763105860774</t>
  </si>
  <si>
    <t>91</t>
  </si>
  <si>
    <t>2025-11-14 11:01:17</t>
  </si>
  <si>
    <t>2025-11-14 10:41:17</t>
  </si>
  <si>
    <t>https://10.116.41.195/grafana/d/edo-radius-full/edo-radius3a-full-auth-acct-2b-kafka-2b-infra?orgId=1&amp;from=1763106077158&amp;to=1763107277409</t>
  </si>
  <si>
    <t>92</t>
  </si>
  <si>
    <t>2025-11-14 11:09:49</t>
  </si>
  <si>
    <t>2025-11-14 11:05:49</t>
  </si>
  <si>
    <t>https://10.116.41.195/grafana/d/edo-radius-full/edo-radius3a-full-auth-acct-2b-kafka-2b-infra?orgId=1&amp;from=1763107549645&amp;to=1763107789667</t>
  </si>
  <si>
    <t>93</t>
  </si>
  <si>
    <t>2025-11-14 11:42:25</t>
  </si>
  <si>
    <t>2025-11-14 11:38:25</t>
  </si>
  <si>
    <t>https://10.116.41.195/grafana/d/edo-radius-full/edo-radius3a-full-auth-acct-2b-kafka-2b-infra?orgId=1&amp;from=1763109505933&amp;to=1763109745948</t>
  </si>
  <si>
    <t>94</t>
  </si>
  <si>
    <t>2025-11-14 11:52:28</t>
  </si>
  <si>
    <t>2025-11-14 11:47:27</t>
  </si>
  <si>
    <t>https://10.116.41.195/grafana/d/edo-radius-full/edo-radius3a-full-auth-acct-2b-kafka-2b-infra?orgId=1&amp;from=1763110047744&amp;to=1763110348080</t>
  </si>
  <si>
    <t>95</t>
  </si>
  <si>
    <t>2025-11-14 12:13:53</t>
  </si>
  <si>
    <t>2025-11-14 11:53:52</t>
  </si>
  <si>
    <t>https://10.116.41.195/grafana/d/edo-radius-full/edo-radius3a-full-auth-acct-2b-kafka-2b-infra?orgId=1&amp;from=1763110432935&amp;to=1763111633173</t>
  </si>
  <si>
    <t>96</t>
  </si>
  <si>
    <t>2025-11-14 12:22:25</t>
  </si>
  <si>
    <t>2025-11-14 12:18:25</t>
  </si>
  <si>
    <t>https://10.116.41.195/grafana/d/edo-radius-full/edo-radius3a-full-auth-acct-2b-kafka-2b-infra?orgId=1&amp;from=1763111905900&amp;to=1763112145924</t>
  </si>
  <si>
    <t>97</t>
  </si>
  <si>
    <t>2025-11-14 13:16:28</t>
  </si>
  <si>
    <t>2025-11-14 13:11:28</t>
  </si>
  <si>
    <t>https://10.116.41.195/grafana/d/edo-radius-full/edo-radius3a-full-auth-acct-2b-kafka-2b-infra?orgId=1&amp;from=1763115088130&amp;to=1763115388160</t>
  </si>
  <si>
    <t>98</t>
  </si>
  <si>
    <t>2025-11-14 13:26:52</t>
  </si>
  <si>
    <t>2025-11-14 13:21:07</t>
  </si>
  <si>
    <t>Сильный дисбаланс нод по утилизации памяти: 
10.116.41.196:9100
60.0
10.116.41.197:9100
42.6
10.116.41.198:9100
46.0
10.116.41.199:9100
24.7</t>
  </si>
  <si>
    <t>https://10.116.41.195/grafana/d/edo-radius-full/edo-radius3a-full-auth-acct-2b-kafka-2b-infra?orgId=1&amp;from=1763115667692&amp;to=1763116012328</t>
  </si>
  <si>
    <t>99</t>
  </si>
  <si>
    <t>2025-11-14 13:51:55</t>
  </si>
  <si>
    <t>2025-11-14 13:31:46</t>
  </si>
  <si>
    <t>https://10.116.41.195/grafana/d/edo-radius-full/edo-radius3a-full-auth-acct-2b-kafka-2b-infra?orgId=1&amp;from=1763116306043&amp;to=1763117515536</t>
  </si>
  <si>
    <t>100</t>
  </si>
  <si>
    <t>2025-11-14 13:59:22</t>
  </si>
  <si>
    <t>2025-11-14 13:54:56</t>
  </si>
  <si>
    <t>https://10.116.41.195/grafana/d/edo-radius-full/edo-radius3a-full-auth-acct-2b-kafka-2b-infra?orgId=1&amp;from=1763117696629&amp;to=1763117962058</t>
  </si>
  <si>
    <t>101</t>
  </si>
  <si>
    <t>2025-11-14 14:27:11</t>
  </si>
  <si>
    <t>2025-11-14 14:22:11</t>
  </si>
  <si>
    <t>https://10.116.41.195/grafana/d/edo-radius-full/edo-radius3a-full-auth-acct-2b-kafka-2b-infra?orgId=1&amp;from=1763119331825&amp;to=1763119631843</t>
  </si>
  <si>
    <t>102</t>
  </si>
  <si>
    <t>2025-11-14 14:35:47</t>
  </si>
  <si>
    <t>2025-11-14 14:30:45</t>
  </si>
  <si>
    <t>https://10.116.41.195/grafana/d/edo-radius-full/edo-radius3a-full-auth-acct-2b-kafka-2b-infra?orgId=1&amp;from=1763119845733&amp;to=1763120147419</t>
  </si>
  <si>
    <t>103</t>
  </si>
  <si>
    <t>2025-11-14 15:00:37</t>
  </si>
  <si>
    <t>2025-11-14 14:40:37</t>
  </si>
  <si>
    <t>https://10.116.41.195/grafana/d/edo-radius-full/edo-radius3a-full-auth-acct-2b-kafka-2b-infra?orgId=1&amp;from=1763120437475&amp;to=1763121637823</t>
  </si>
  <si>
    <t>104</t>
  </si>
  <si>
    <t>2025-11-14 15:08:45</t>
  </si>
  <si>
    <t>2025-11-14 15:04:45</t>
  </si>
  <si>
    <t>https://10.116.41.195/grafana/d/edo-radius-full/edo-radius3a-full-auth-acct-2b-kafka-2b-infra?orgId=1&amp;from=1763121885368&amp;to=1763122125384</t>
  </si>
  <si>
    <t>105</t>
  </si>
  <si>
    <t>2025-11-14 15:24:15</t>
  </si>
  <si>
    <t>2025-11-14 15:19:15</t>
  </si>
  <si>
    <t>https://10.116.41.195/grafana/d/edo-radius-full/edo-radius3a-full-auth-acct-2b-kafka-2b-infra?orgId=1&amp;from=1763122755374&amp;to=1763123055400</t>
  </si>
  <si>
    <t>106</t>
  </si>
  <si>
    <t>2025-11-14 15:32:04</t>
  </si>
  <si>
    <t>2025-11-14 15:27:03</t>
  </si>
  <si>
    <t>https://10.116.41.195/grafana/d/edo-radius-full/edo-radius3a-full-auth-acct-2b-kafka-2b-infra?orgId=1&amp;from=1763123223346&amp;to=1763123524684</t>
  </si>
  <si>
    <t>107</t>
  </si>
  <si>
    <t>2025-11-14 15:54:31</t>
  </si>
  <si>
    <t>2025-11-14 15:34:31</t>
  </si>
  <si>
    <t>https://10.116.41.195/grafana/d/edo-radius-full/edo-radius3a-full-auth-acct-2b-kafka-2b-infra?orgId=1&amp;from=1763123671077&amp;to=1763124871326</t>
  </si>
  <si>
    <t>108</t>
  </si>
  <si>
    <t>2025-11-14 16:23:40</t>
  </si>
  <si>
    <t>2025-11-14 16:19:40</t>
  </si>
  <si>
    <t>https://10.116.41.195/grafana/d/edo-radius-full/edo-radius3a-full-auth-acct-2b-kafka-2b-infra?orgId=1&amp;from=1763126380057&amp;to=1763126620075</t>
  </si>
  <si>
    <t>121</t>
  </si>
  <si>
    <t>2025-11-14 19:09:26</t>
  </si>
  <si>
    <t>2025-11-14 19:04:14</t>
  </si>
  <si>
    <t>https://10.116.41.195/grafana/d/edo-radius-full/edo-radius3a-full-auth-acct-2b-kafka-2b-infra?orgId=1&amp;from=1763136254625&amp;to=1763136566089</t>
  </si>
  <si>
    <t>122</t>
  </si>
  <si>
    <t>2025-11-14 19:19:40</t>
  </si>
  <si>
    <t>2025-11-14 19:14:11</t>
  </si>
  <si>
    <t>https://10.116.41.195/grafana/d/edo-radius-full/edo-radius3a-full-auth-acct-2b-kafka-2b-infra?orgId=1&amp;from=1763136851181&amp;to=1763137180830</t>
  </si>
  <si>
    <t>123</t>
  </si>
  <si>
    <t>2025-11-14 19:44:08</t>
  </si>
  <si>
    <t>2025-11-14 19:23:57</t>
  </si>
  <si>
    <t>https://10.116.41.195/grafana/d/edo-radius-full/edo-radius3a-full-auth-acct-2b-kafka-2b-infra?orgId=1&amp;from=1763137437569&amp;to=1763138648383</t>
  </si>
  <si>
    <t>124</t>
  </si>
  <si>
    <t>2025-11-14 19:51:42</t>
  </si>
  <si>
    <t>2025-11-14 19:47:42</t>
  </si>
  <si>
    <t>https://10.116.41.195/grafana/d/edo-radius-full/edo-radius3a-full-auth-acct-2b-kafka-2b-infra?orgId=1&amp;from=1763138862941&amp;to=1763139102987</t>
  </si>
  <si>
    <t>125</t>
  </si>
  <si>
    <t>2025-11-14 18:10:30</t>
  </si>
  <si>
    <t>2025-11-14 18:05:30</t>
  </si>
  <si>
    <t>https://10.116.41.195/grafana/d/edo-radius-full/edo-radius3a-full-auth-acct-2b-kafka-2b-infra?orgId=1&amp;from=1763132730160&amp;to=1763133030182</t>
  </si>
  <si>
    <t>126</t>
  </si>
  <si>
    <t>2025-11-14 18:29:02</t>
  </si>
  <si>
    <t>2025-11-14 18:24:01</t>
  </si>
  <si>
    <t>https://10.116.41.195/grafana/d/edo-radius-full/edo-radius3a-full-auth-acct-2b-kafka-2b-infra?orgId=1&amp;from=1763133841991&amp;to=1763134142377</t>
  </si>
  <si>
    <t>127</t>
  </si>
  <si>
    <t>2025-11-14 18:52:19</t>
  </si>
  <si>
    <t>2025-11-14 18:32:19</t>
  </si>
  <si>
    <t>https://10.116.41.195/grafana/d/edo-radius-full/edo-radius3a-full-auth-acct-2b-kafka-2b-infra?orgId=1&amp;from=1763134339677&amp;to=1763135539904</t>
  </si>
  <si>
    <t>128</t>
  </si>
  <si>
    <t>2025-11-14 19:00:20</t>
  </si>
  <si>
    <t>2025-11-14 18:56:20</t>
  </si>
  <si>
    <t>https://10.116.41.195/grafana/d/edo-radius-full/edo-radius3a-full-auth-acct-2b-kafka-2b-infra?orgId=1&amp;from=1763135780455&amp;to=1763136020473</t>
  </si>
  <si>
    <t>129</t>
  </si>
  <si>
    <t>2025-11-14 17:09:37</t>
  </si>
  <si>
    <t>2025-11-14 17:04:37</t>
  </si>
  <si>
    <t>https://10.116.41.195/grafana/d/edo-radius-full/edo-radius3a-full-auth-acct-2b-kafka-2b-infra?orgId=1&amp;from=1763129077208&amp;to=1763129377234</t>
  </si>
  <si>
    <t>130</t>
  </si>
  <si>
    <t>2025-11-14 17:20:38</t>
  </si>
  <si>
    <t>2025-11-14 17:15:34</t>
  </si>
  <si>
    <t>https://10.116.41.195/grafana/d/edo-radius-full/edo-radius3a-full-auth-acct-2b-kafka-2b-infra?orgId=1&amp;from=1763129734184&amp;to=1763130038999</t>
  </si>
  <si>
    <t>131</t>
  </si>
  <si>
    <t>2025-11-14 17:41:44</t>
  </si>
  <si>
    <t>2025-11-14 17:21:44</t>
  </si>
  <si>
    <t>https://10.116.41.195/grafana/d/edo-radius-full/edo-radius3a-full-auth-acct-2b-kafka-2b-infra?orgId=1&amp;from=1763130104730&amp;to=1763131304965</t>
  </si>
  <si>
    <t>132</t>
  </si>
  <si>
    <t>2025-11-14 17:51:50</t>
  </si>
  <si>
    <t>2025-11-14 17:47:50</t>
  </si>
  <si>
    <t>https://10.116.41.195/grafana/d/edo-radius-full/edo-radius3a-full-auth-acct-2b-kafka-2b-infra?orgId=1&amp;from=1763131670884&amp;to=1763131910915</t>
  </si>
  <si>
    <t>109</t>
  </si>
  <si>
    <t>2025-11-17 11:19:39</t>
  </si>
  <si>
    <t>2025-11-17 11:14:37</t>
  </si>
  <si>
    <t>2500.00</t>
  </si>
  <si>
    <t>150.00</t>
  </si>
  <si>
    <t>3000.00</t>
  </si>
  <si>
    <t>300.00</t>
  </si>
  <si>
    <t>https://10.116.41.195/grafana/d/edo-radius-full/edo-radius3a-full-auth-acct-2b-kafka-2b-infra?orgId=1&amp;from=1763367277920&amp;to=1763367579481</t>
  </si>
  <si>
    <t>110</t>
  </si>
  <si>
    <t>2025-11-17 11:30:37</t>
  </si>
  <si>
    <t>2025-11-17 11:25:08</t>
  </si>
  <si>
    <t>https://10.116.41.195/grafana/d/edo-radius-full/edo-radius3a-full-auth-acct-2b-kafka-2b-infra?orgId=1&amp;from=1763367908178&amp;to=1763368237109</t>
  </si>
  <si>
    <t>Сильный дисбаланс на нодах по утилизации CPU</t>
  </si>
  <si>
    <t>111</t>
  </si>
  <si>
    <t>2025-11-17 12:03:49</t>
  </si>
  <si>
    <t>2025-11-17 11:43:26</t>
  </si>
  <si>
    <t>https://10.116.41.195/grafana/d/edo-radius-full/edo-radius3a-full-auth-acct-2b-kafka-2b-infra?orgId=1&amp;from=1763369006161&amp;to=1763370229090</t>
  </si>
  <si>
    <t>112</t>
  </si>
  <si>
    <t>2025-11-17 12:12:24</t>
  </si>
  <si>
    <t>2025-11-17 12:07:58</t>
  </si>
  <si>
    <t>https://10.116.41.195/grafana/d/edo-radius-full/edo-radius3a-full-auth-acct-2b-kafka-2b-infra?orgId=1&amp;from=1763370478388&amp;to=1763370744781</t>
  </si>
  <si>
    <t>Сильный дисбаланс на нодах по утилизации CPU:
Node CPU Utilization (%)
10.116.41.196:9100
18.3
10.116.41.197:9100
41.9
10.116.41.198:9100
30.5</t>
  </si>
  <si>
    <t>113</t>
  </si>
  <si>
    <t>2025-11-17 12:25:54</t>
  </si>
  <si>
    <t>2025-11-17 12:20:54</t>
  </si>
  <si>
    <t>https://10.116.41.195/grafana/d/edo-radius-full/edo-radius3a-full-auth-acct-2b-kafka-2b-infra?orgId=1&amp;from=1763371254957&amp;to=1763371554978</t>
  </si>
  <si>
    <t>114</t>
  </si>
  <si>
    <t>2025-11-17 12:51:51</t>
  </si>
  <si>
    <t>2025-11-17 12:46:51</t>
  </si>
  <si>
    <t>https://10.116.41.195/grafana/d/edo-radius-full/edo-radius3a-full-auth-acct-2b-kafka-2b-infra?orgId=1&amp;from=1763372811401&amp;to=1763373111643</t>
  </si>
  <si>
    <t>115</t>
  </si>
  <si>
    <t>2025-11-17 13:34:13</t>
  </si>
  <si>
    <t>2025-11-17 13:14:10</t>
  </si>
  <si>
    <t>https://10.116.41.195/grafana/d/edo-radius-full/edo-radius3a-full-auth-acct-2b-kafka-2b-infra?orgId=1&amp;from=1763374450534&amp;to=1763375653389</t>
  </si>
  <si>
    <t>116</t>
  </si>
  <si>
    <t>2025-11-17 13:58:24</t>
  </si>
  <si>
    <t>2025-11-17 13:54:24</t>
  </si>
  <si>
    <t>https://10.116.41.195/grafana/d/edo-radius-full/edo-radius3a-full-auth-acct-2b-kafka-2b-infra?orgId=1&amp;from=1763376864546&amp;to=1763377104558</t>
  </si>
  <si>
    <t>117</t>
  </si>
  <si>
    <t>2025-11-17 14:29:41</t>
  </si>
  <si>
    <t>2025-11-17 14:24:41</t>
  </si>
  <si>
    <t>https://10.116.41.195/grafana/d/edo-radius-full/edo-radius3a-full-auth-acct-2b-kafka-2b-infra?orgId=1&amp;from=1763378681926&amp;to=1763378981936</t>
  </si>
  <si>
    <t>118</t>
  </si>
  <si>
    <t>2025-11-17 14:40:38</t>
  </si>
  <si>
    <t>2025-11-17 14:35:38</t>
  </si>
  <si>
    <t>https://10.116.41.195/grafana/d/edo-radius-full/edo-radius3a-full-auth-acct-2b-kafka-2b-infra?orgId=1&amp;from=1763379338082&amp;to=1763379638280</t>
  </si>
  <si>
    <t>119</t>
  </si>
  <si>
    <t>2025-11-17 15:06:22</t>
  </si>
  <si>
    <t>2025-11-17 14:46:21</t>
  </si>
  <si>
    <t>https://10.116.41.195/grafana/d/edo-radius-full/edo-radius3a-full-auth-acct-2b-kafka-2b-infra?orgId=1&amp;from=1763379981991&amp;to=1763381182154</t>
  </si>
  <si>
    <t>2025-11-17 15:30:35</t>
  </si>
  <si>
    <t>2025-11-17 15:25:35</t>
  </si>
  <si>
    <t>https://10.116.41.195/grafana/d/edo-radius-full/edo-radius3a-full-auth-acct-2b-kafka-2b-infra?orgId=1&amp;from=1763382335505&amp;to=1763382635671</t>
  </si>
  <si>
    <t>2025-11-18 01:58:45</t>
  </si>
  <si>
    <t>2025-11-18 01:53:45</t>
  </si>
  <si>
    <t>https://10.116.41.195/grafana/d/edo-radius-full/edo-radius3a-full-auth-acct-2b-kafka-2b-infra?orgId=1&amp;from=1763420025939&amp;to=1763420325949</t>
  </si>
  <si>
    <t>255</t>
  </si>
  <si>
    <t>2025-11-20 13:41:13</t>
  </si>
  <si>
    <t>50@60s,100@180s,200@900s,300@120s,0@60s</t>
  </si>
  <si>
    <t>2025-11-20 13:19:08</t>
  </si>
  <si>
    <t>https://10.116.41.195/grafana/d/edo-radius-full/edo-radius3a-full-auth-acct-2b-kafka-2b-infra?orgId=1&amp;from=1763633948145&amp;to=1763635273451</t>
  </si>
  <si>
    <t>258</t>
  </si>
  <si>
    <t>2025-11-20 01:23:47</t>
  </si>
  <si>
    <t>900s@200,60s@0</t>
  </si>
  <si>
    <t>2025-11-20 01:07:30</t>
  </si>
  <si>
    <t>https://10.116.41.195/grafana/d/edo-radius-full/edo-radius3a-full-auth-acct-2b-kafka-2b-infra?orgId=1&amp;from=1763590050334&amp;to=1763591027722</t>
  </si>
  <si>
    <t>305</t>
  </si>
  <si>
    <t>2025-11-28 09:59:00</t>
  </si>
  <si>
    <t>900s@120,60s@0</t>
  </si>
  <si>
    <t>2025-11-28 09:43:00</t>
  </si>
  <si>
    <t>https://10.116.41.195/grafana/d/edo-radius-full/edo-radius3a-full-auth-acct-2b-kafka-2b-infra?orgId=1&amp;from=1764312180205&amp;to=1764313140330</t>
  </si>
  <si>
    <t>306</t>
  </si>
  <si>
    <t>2025-11-28 10:27:19</t>
  </si>
  <si>
    <t>50@180s,80@180s,110@180s,140@180s,0@60s</t>
  </si>
  <si>
    <t>2025-11-28 10:14:19</t>
  </si>
  <si>
    <t>https://10.116.41.195/grafana/d/edo-radius-full/edo-radius3a-full-auth-acct-2b-kafka-2b-infra?orgId=1&amp;from=1764314059764&amp;to=1764314839778</t>
  </si>
  <si>
    <t>308</t>
  </si>
  <si>
    <t>2025-11-28 10:55:35</t>
  </si>
  <si>
    <t>2025-11-28 10:39:35</t>
  </si>
  <si>
    <t>https://10.116.41.195/grafana/d/edo-radius-full/edo-radius3a-full-auth-acct-2b-kafka-2b-infra?orgId=1&amp;from=1764315575334&amp;to=1764316535458</t>
  </si>
  <si>
    <t>317</t>
  </si>
  <si>
    <t>2025-11-28 11:39:02</t>
  </si>
  <si>
    <t>2025-11-28 11:23:02</t>
  </si>
  <si>
    <t>https://10.116.41.195/grafana/d/edo-radius-full/edo-radius3a-full-auth-acct-2b-kafka-2b-infra?orgId=1&amp;from=1764318182795&amp;to=1764319142869</t>
  </si>
  <si>
    <t>323</t>
  </si>
  <si>
    <t>2025-11-28 12:29:18</t>
  </si>
  <si>
    <t>2025-11-28 12:13:17</t>
  </si>
  <si>
    <t>https://10.116.41.195/grafana/d/edo-radius-full/edo-radius3a-full-auth-acct-2b-kafka-2b-infra?orgId=1&amp;from=1764321197854&amp;to=1764322158060</t>
  </si>
  <si>
    <t>326</t>
  </si>
  <si>
    <t>2025-11-28 13:15:54</t>
  </si>
  <si>
    <t>2025-11-28 12:59:54</t>
  </si>
  <si>
    <t>https://10.116.41.195/grafana/d/edo-radius-full/edo-radius3a-full-auth-acct-2b-kafka-2b-infra?orgId=1&amp;from=1764323994339&amp;to=1764324954451</t>
  </si>
  <si>
    <t>341</t>
  </si>
  <si>
    <t>2025-11-28 14:56:32</t>
  </si>
  <si>
    <t>2025-11-28 14:40:32</t>
  </si>
  <si>
    <t>https://10.116.41.195/grafana/d/edo-radius-full/edo-radius3a-full-auth-acct-2b-kafka-2b-infra?orgId=1&amp;from=1764330032160&amp;to=1764330992232</t>
  </si>
  <si>
    <t>344</t>
  </si>
  <si>
    <t>2025-11-28 15:28:52</t>
  </si>
  <si>
    <t>2025-11-28 15:12:52</t>
  </si>
  <si>
    <t>https://10.116.41.195/grafana/d/edo-radius-full/edo-radius3a-full-auth-acct-2b-kafka-2b-infra?orgId=1&amp;from=1764331972280&amp;to=1764332932375</t>
  </si>
  <si>
    <t>346</t>
  </si>
  <si>
    <t>2025-11-25 21:53:30</t>
  </si>
  <si>
    <t>20@30s,40@60s,60@120s,0@60s</t>
  </si>
  <si>
    <t>2025-11-25 21:49:00</t>
  </si>
  <si>
    <t>https://10.116.41.195/grafana/d/edo-radius-full/edo-radius3a-full-auth-acct-2b-kafka-2b-infra?orgId=1&amp;from=1764096540746&amp;to=1764096810764</t>
  </si>
  <si>
    <t>347-100</t>
  </si>
  <si>
    <t>2025-11-25 22:48:19</t>
  </si>
  <si>
    <t>900s@100,60s@0</t>
  </si>
  <si>
    <t>2025-11-25 22:32:19</t>
  </si>
  <si>
    <t>https://10.116.41.195/grafana/d/edo-radius-full/edo-radius3a-full-auth-acct-2b-kafka-2b-infra?orgId=1&amp;from=1764099139704&amp;to=1764100099985</t>
  </si>
  <si>
    <t>347-120</t>
  </si>
  <si>
    <t>2025-11-25 22:21:03</t>
  </si>
  <si>
    <t>2025-11-25 22:05:00</t>
  </si>
  <si>
    <t>https://10.116.41.195/grafana/d/edo-radius-full/edo-radius3a-full-auth-acct-2b-kafka-2b-infra?orgId=1&amp;from=1764097500920&amp;to=1764098463405</t>
  </si>
  <si>
    <t>348</t>
  </si>
  <si>
    <t>2025-11-25 23:14:19</t>
  </si>
  <si>
    <t>2025-11-25 23:01:19</t>
  </si>
  <si>
    <t>https://10.116.41.195/grafana/d/edo-radius-full/edo-radius3a-full-auth-acct-2b-kafka-2b-infra?orgId=1&amp;from=1764100879344&amp;to=1764101659358</t>
  </si>
  <si>
    <t>349</t>
  </si>
  <si>
    <t>2025-11-25 23:37:10</t>
  </si>
  <si>
    <t>2025-11-25 23:32:40</t>
  </si>
  <si>
    <t>https://10.116.41.195/grafana/d/edo-radius-full/edo-radius3a-full-auth-acct-2b-kafka-2b-infra?orgId=1&amp;from=1764102760126&amp;to=1764103030137</t>
  </si>
  <si>
    <t>350</t>
  </si>
  <si>
    <t>2025-11-25 23:59:48</t>
  </si>
  <si>
    <t>2025-11-25 23:43:48</t>
  </si>
  <si>
    <t>https://10.116.41.195/grafana/d/edo-radius-full/edo-radius3a-full-auth-acct-2b-kafka-2b-infra?orgId=1&amp;from=1764103428710&amp;to=1764104388787</t>
  </si>
  <si>
    <t>351</t>
  </si>
  <si>
    <t>2025-11-26 00:16:41</t>
  </si>
  <si>
    <t>2025-11-26 00:03:41</t>
  </si>
  <si>
    <t>https://10.116.41.195/grafana/d/edo-radius-full/edo-radius3a-full-auth-acct-2b-kafka-2b-infra?orgId=1&amp;from=1764104621751&amp;to=1764105401764</t>
  </si>
  <si>
    <t>352</t>
  </si>
  <si>
    <t>2025-11-26 00:33:06</t>
  </si>
  <si>
    <t>2025-11-26 00:28:35</t>
  </si>
  <si>
    <t>https://10.116.41.195/grafana/d/edo-radius-full/edo-radius3a-full-auth-acct-2b-kafka-2b-infra?orgId=1&amp;from=1764106115824&amp;to=1764106386870</t>
  </si>
  <si>
    <t>359</t>
  </si>
  <si>
    <t>2025-11-28 16:14:15</t>
  </si>
  <si>
    <t>2025-11-28 15:58:10</t>
  </si>
  <si>
    <t>https://10.116.41.195/grafana/d/edo-radius-full/edo-radius3a-full-auth-acct-2b-kafka-2b-infra?orgId=1&amp;from=1764334690524&amp;to=1764335655420</t>
  </si>
  <si>
    <t>362</t>
  </si>
  <si>
    <t>2025-11-28 16:40:46</t>
  </si>
  <si>
    <t>2025-11-28 16:24:45</t>
  </si>
  <si>
    <t>https://10.116.41.195/grafana/d/edo-radius-full/edo-radius3a-full-auth-acct-2b-kafka-2b-infra?orgId=1&amp;from=1764336285986&amp;to=1764337246072</t>
  </si>
  <si>
    <t>377</t>
  </si>
  <si>
    <t>2025-11-28 18:08:40</t>
  </si>
  <si>
    <t>2025-11-28 17:52:40</t>
  </si>
  <si>
    <t>https://10.116.41.195/grafana/d/edo-radius-full/edo-radius3a-full-auth-acct-2b-kafka-2b-infra?orgId=1&amp;from=1764341560427&amp;to=1764342520525</t>
  </si>
  <si>
    <t>380</t>
  </si>
  <si>
    <t>2025-11-28 18:31:19</t>
  </si>
  <si>
    <t>2025-11-28 18:15:19</t>
  </si>
  <si>
    <t>https://10.116.41.195/grafana/d/edo-radius-full/edo-radius3a-full-auth-acct-2b-kafka-2b-infra?orgId=1&amp;from=1764342919170&amp;to=1764343879243</t>
  </si>
  <si>
    <t>383-100</t>
  </si>
  <si>
    <t>2025-11-24 13:45:15</t>
  </si>
  <si>
    <t>2025-11-24 13:29:15</t>
  </si>
  <si>
    <t>https://10.116.41.195/grafana/d/edo-radius-full/edo-radius3a-full-auth-acct-2b-kafka-2b-infra?orgId=1&amp;from=1763980155270&amp;to=1763981115536</t>
  </si>
  <si>
    <t>385</t>
  </si>
  <si>
    <t>2025-11-27 10:05:43</t>
  </si>
  <si>
    <t>2025-11-27 10:01:12</t>
  </si>
  <si>
    <t>https://10.116.41.195/grafana/d/edo-radius-full/edo-radius3a-full-auth-acct-2b-kafka-2b-infra?orgId=1&amp;from=1764226872996&amp;to=1764227143011</t>
  </si>
  <si>
    <t>386</t>
  </si>
  <si>
    <t>2025-11-27 12:18:37</t>
  </si>
  <si>
    <t>2025-11-27 12:02:37</t>
  </si>
  <si>
    <t>https://10.116.41.195/grafana/d/edo-radius-full/edo-radius3a-full-auth-acct-2b-kafka-2b-infra?orgId=1&amp;from=1764234157211&amp;to=1764235117325</t>
  </si>
  <si>
    <t>387</t>
  </si>
  <si>
    <t>2025-11-27 14:24:05</t>
  </si>
  <si>
    <t>2025-11-27 14:11:05</t>
  </si>
  <si>
    <t>https://10.116.41.195/grafana/d/edo-radius-full/edo-radius3a-full-auth-acct-2b-kafka-2b-infra?orgId=1&amp;from=1764241865046&amp;to=1764242645186</t>
  </si>
  <si>
    <t>388</t>
  </si>
  <si>
    <t>2025-11-27 18:50:00</t>
  </si>
  <si>
    <t>2025-11-27 18:45:30</t>
  </si>
  <si>
    <t>https://10.116.41.195/grafana/d/edo-radius-full/edo-radius3a-full-auth-acct-2b-kafka-2b-infra?orgId=1&amp;from=1764258330589&amp;to=1764258600602</t>
  </si>
  <si>
    <t>389</t>
  </si>
  <si>
    <t>2025-11-27 18:42:58</t>
  </si>
  <si>
    <t>2025-11-27 18:26:58</t>
  </si>
  <si>
    <t>https://10.116.41.195/grafana/d/edo-radius-full/edo-radius3a-full-auth-acct-2b-kafka-2b-infra?orgId=1&amp;from=1764257218701&amp;to=1764258178775</t>
  </si>
  <si>
    <t>390</t>
  </si>
  <si>
    <t>2025-11-27 19:15:04</t>
  </si>
  <si>
    <t>2025-11-27 19:02:04</t>
  </si>
  <si>
    <t>https://10.116.41.195/grafana/d/edo-radius-full/edo-radius3a-full-auth-acct-2b-kafka-2b-infra?orgId=1&amp;from=1764259324918&amp;to=1764260104931</t>
  </si>
  <si>
    <t>395</t>
  </si>
  <si>
    <t>2025-11-28 19:17:35</t>
  </si>
  <si>
    <t>2025-11-28 19:01:35</t>
  </si>
  <si>
    <t>https://10.116.41.195/grafana/d/edo-radius-full/edo-radius3a-full-auth-acct-2b-kafka-2b-infra?orgId=1&amp;from=1764345695253&amp;to=1764346655460</t>
  </si>
  <si>
    <t>6_OCSP</t>
  </si>
  <si>
    <t>2025-12-01 16:03:11</t>
  </si>
  <si>
    <t>2025-12-01 15:57:41</t>
  </si>
  <si>
    <t>https://10.116.41.195/grafana/d/edo-radius-full/edo-radius3a-full-auth-acct-2b-kafka-2b-infra?orgId=1&amp;from=1764593861248&amp;to=1764594191854</t>
  </si>
  <si>
    <t>7_OCSP</t>
  </si>
  <si>
    <t>2025-12-01 16:36:48</t>
  </si>
  <si>
    <t>2025-12-01 16:16:17</t>
  </si>
  <si>
    <t>https://10.116.41.195/grafana/d/edo-radius-full/edo-radius3a-full-auth-acct-2b-kafka-2b-infra?orgId=1&amp;from=1764594977931&amp;to=1764596208857</t>
  </si>
  <si>
    <t>4_OCSP</t>
  </si>
  <si>
    <t>2025-12-01 13:14:51</t>
  </si>
  <si>
    <t>2025-12-01 12:54:20</t>
  </si>
  <si>
    <t>https://10.116.41.195/grafana/d/edo-radius-full/edo-radius3a-full-auth-acct-2b-kafka-2b-infra?orgId=1&amp;from=1764582860581&amp;to=1764584091791</t>
  </si>
  <si>
    <t>5_OCSP</t>
  </si>
  <si>
    <t>2025-12-01 14:12:56</t>
  </si>
  <si>
    <t>2025-12-01 14:08:25</t>
  </si>
  <si>
    <t>https://10.116.41.195/grafana/d/edo-radius-full/edo-radius3a-full-auth-acct-2b-kafka-2b-infra?orgId=1&amp;from=1764587305666&amp;to=1764587576910</t>
  </si>
  <si>
    <t>1_OCSP</t>
  </si>
  <si>
    <t>2025-12-01 11:15:20</t>
  </si>
  <si>
    <t>2025-12-01 11:09:50</t>
  </si>
  <si>
    <t>https://10.116.41.195/grafana/d/edo-radius-full/edo-radius3a-full-auth-acct-2b-kafka-2b-infra?orgId=1&amp;from=1764576590258&amp;to=1764576920997</t>
  </si>
  <si>
    <t>2_OCSP</t>
  </si>
  <si>
    <t>2025-12-01 11:52:07</t>
  </si>
  <si>
    <t>2025-12-01 11:31:34</t>
  </si>
  <si>
    <t>реджекты падают с ошибкой Обработка EAP: eap_tls: (TLS) ocsp: Unable to check certificate, failing
пример: https://10.116.41.195/events/network-access/authentication/trace/edit/13284036</t>
  </si>
  <si>
    <t>https://10.116.41.195/grafana/d/edo-radius-full/edo-radius3a-full-auth-acct-2b-kafka-2b-infra?orgId=1&amp;from=1764577894980&amp;to=1764579127691</t>
  </si>
  <si>
    <t>3_OCSP</t>
  </si>
  <si>
    <t>2025-12-01 12:29:35</t>
  </si>
  <si>
    <t>2025-12-01 12:24:04</t>
  </si>
  <si>
    <t>https://10.116.41.195/grafana/d/edo-radius-full/edo-radius3a-full-auth-acct-2b-kafka-2b-infra?orgId=1&amp;from=1764581044950&amp;to=1764581375496</t>
  </si>
  <si>
    <t>398</t>
  </si>
  <si>
    <t>2025-11-28 19:57:06</t>
  </si>
  <si>
    <t>2025-11-28 19:41:06</t>
  </si>
  <si>
    <t>https://10.116.41.195/grafana/d/edo-radius-full/edo-radius3a-full-auth-acct-2b-kafka-2b-infra?orgId=1&amp;from=1764348066825&amp;to=1764349026894</t>
  </si>
  <si>
    <t>410</t>
  </si>
  <si>
    <t>2025-11-27 19:50:04</t>
  </si>
  <si>
    <t>2025-11-27 19:34:04</t>
  </si>
  <si>
    <t>https://10.116.41.195/grafana/d/edo-radius-full/edo-radius3a-full-auth-acct-2b-kafka-2b-infra?orgId=1&amp;from=1764261244727&amp;to=1764262204807</t>
  </si>
  <si>
    <t>2025-11-20 13:17:32</t>
  </si>
  <si>
    <t>2025-11-20 13:01:20</t>
  </si>
  <si>
    <t>https://10.116.41.195/grafana/d/edo-radius-full/edo-radius3a-full-auth-acct-2b-kafka-2b-infra?orgId=1&amp;from=1763632880145&amp;to=1763633852183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</si>
</sst>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"/>
    <numFmt numFmtId="165" formatCode="0.00&quot; mCPU&quot;"/>
    <numFmt numFmtId="166" formatCode="0&quot; MiB&quot;"/>
    <numFmt numFmtId="167" formatCode="0.0&quot; mCPU&quot;"/>
    <numFmt numFmtId="168" formatCode="#,##0.0"/>
    <numFmt numFmtId="169" formatCode="M/d/yyyy"/>
    <numFmt numFmtId="170" formatCode="yyyy-mm-dd h:mm:ss"/>
    <numFmt numFmtId="171" formatCode="#,##0.000"/>
    <numFmt numFmtId="172" formatCode="0.0000%"/>
    <numFmt numFmtId="173" formatCode="0.0"/>
  </numFmts>
  <fonts count="1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b/>
      <color theme="1"/>
      <name val="Calibri"/>
    </font>
    <font>
      <b/>
      <color rgb="FFFFFFFF"/>
      <name val="Calibri"/>
    </font>
    <font>
      <b/>
      <sz val="11.0"/>
      <color rgb="FFFFFFFF"/>
      <name val="Roboto"/>
    </font>
    <font>
      <sz val="11.0"/>
      <color rgb="FF434343"/>
      <name val="Roboto"/>
    </font>
    <font>
      <u/>
      <sz val="11.0"/>
      <color rgb="FF434343"/>
      <name val="Roboto"/>
    </font>
    <font>
      <u/>
      <sz val="11.0"/>
      <color rgb="FF434343"/>
      <name val="Roboto"/>
    </font>
    <font>
      <u/>
      <sz val="11.0"/>
      <color rgb="FF434343"/>
      <name val="Roboto"/>
    </font>
    <font>
      <u/>
      <sz val="11.0"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0" fontId="6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2" xfId="0" applyBorder="1" applyFont="1" applyNumberFormat="1"/>
    <xf borderId="0" fillId="0" fontId="1" numFmtId="2" xfId="0" applyAlignment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0" fillId="0" fontId="2" numFmtId="2" xfId="0" applyFont="1" applyNumberFormat="1"/>
    <xf borderId="0" fillId="0" fontId="3" numFmtId="2" xfId="0" applyFont="1" applyNumberFormat="1"/>
    <xf borderId="1" fillId="0" fontId="1" numFmtId="164" xfId="0" applyBorder="1" applyFont="1" applyNumberFormat="1"/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1" numFmtId="167" xfId="0" applyBorder="1" applyFont="1" applyNumberFormat="1"/>
    <xf borderId="2" fillId="4" fontId="8" numFmtId="4" xfId="0" applyAlignment="1" applyBorder="1" applyFill="1" applyFont="1" applyNumberFormat="1">
      <alignment horizontal="left" readingOrder="0" shrinkToFit="0" vertical="center" wrapText="0"/>
    </xf>
    <xf borderId="3" fillId="4" fontId="8" numFmtId="4" xfId="0" applyAlignment="1" applyBorder="1" applyFont="1" applyNumberFormat="1">
      <alignment horizontal="left" readingOrder="0" shrinkToFit="0" vertical="center" wrapText="0"/>
    </xf>
    <xf borderId="3" fillId="4" fontId="8" numFmtId="10" xfId="0" applyAlignment="1" applyBorder="1" applyFont="1" applyNumberFormat="1">
      <alignment horizontal="left" readingOrder="0" shrinkToFit="0" vertical="center" wrapText="0"/>
    </xf>
    <xf borderId="3" fillId="4" fontId="8" numFmtId="168" xfId="0" applyAlignment="1" applyBorder="1" applyFont="1" applyNumberFormat="1">
      <alignment horizontal="left" readingOrder="0" shrinkToFit="0" vertical="center" wrapText="0"/>
    </xf>
    <xf borderId="4" fillId="4" fontId="8" numFmtId="4" xfId="0" applyAlignment="1" applyBorder="1" applyFont="1" applyNumberFormat="1">
      <alignment horizontal="left" readingOrder="0" shrinkToFit="0" vertical="center" wrapText="0"/>
    </xf>
    <xf borderId="5" fillId="5" fontId="9" numFmtId="3" xfId="0" applyAlignment="1" applyBorder="1" applyFill="1" applyFont="1" applyNumberFormat="1">
      <alignment shrinkToFit="0" vertical="center" wrapText="0"/>
    </xf>
    <xf borderId="6" fillId="5" fontId="9" numFmtId="169" xfId="0" applyAlignment="1" applyBorder="1" applyFont="1" applyNumberFormat="1">
      <alignment horizontal="right" shrinkToFit="0" vertical="center" wrapText="0"/>
    </xf>
    <xf borderId="6" fillId="5" fontId="9" numFmtId="4" xfId="0" applyAlignment="1" applyBorder="1" applyFont="1" applyNumberFormat="1">
      <alignment shrinkToFit="0" vertical="center" wrapText="0"/>
    </xf>
    <xf borderId="6" fillId="5" fontId="9" numFmtId="170" xfId="0" applyAlignment="1" applyBorder="1" applyFont="1" applyNumberFormat="1">
      <alignment horizontal="right" shrinkToFit="0" vertical="center" wrapText="0"/>
    </xf>
    <xf borderId="6" fillId="5" fontId="9" numFmtId="4" xfId="0" applyAlignment="1" applyBorder="1" applyFont="1" applyNumberFormat="1">
      <alignment horizontal="right" shrinkToFit="0" vertical="center" wrapText="0"/>
    </xf>
    <xf borderId="6" fillId="5" fontId="9" numFmtId="10" xfId="0" applyAlignment="1" applyBorder="1" applyFont="1" applyNumberFormat="1">
      <alignment horizontal="right" shrinkToFit="0" vertical="center" wrapText="0"/>
    </xf>
    <xf borderId="6" fillId="5" fontId="9" numFmtId="171" xfId="0" applyAlignment="1" applyBorder="1" applyFont="1" applyNumberFormat="1">
      <alignment horizontal="right" shrinkToFit="0" vertical="center" wrapText="0"/>
    </xf>
    <xf borderId="6" fillId="5" fontId="2" numFmtId="4" xfId="0" applyAlignment="1" applyBorder="1" applyFont="1" applyNumberFormat="1">
      <alignment shrinkToFit="0" vertical="center" wrapText="0"/>
    </xf>
    <xf borderId="6" fillId="5" fontId="9" numFmtId="0" xfId="0" applyAlignment="1" applyBorder="1" applyFont="1">
      <alignment horizontal="right" shrinkToFit="0" vertical="center" wrapText="0"/>
    </xf>
    <xf borderId="6" fillId="5" fontId="9" numFmtId="3" xfId="0" applyAlignment="1" applyBorder="1" applyFont="1" applyNumberFormat="1">
      <alignment horizontal="right" shrinkToFit="0" vertical="center" wrapText="0"/>
    </xf>
    <xf borderId="6" fillId="5" fontId="9" numFmtId="168" xfId="0" applyAlignment="1" applyBorder="1" applyFont="1" applyNumberFormat="1">
      <alignment horizontal="right" shrinkToFit="0" vertical="center" wrapText="0"/>
    </xf>
    <xf borderId="6" fillId="5" fontId="10" numFmtId="4" xfId="0" applyAlignment="1" applyBorder="1" applyFont="1" applyNumberFormat="1">
      <alignment shrinkToFit="0" vertical="center" wrapText="0"/>
    </xf>
    <xf borderId="7" fillId="5" fontId="9" numFmtId="3" xfId="0" applyAlignment="1" applyBorder="1" applyFont="1" applyNumberFormat="1">
      <alignment horizontal="right" shrinkToFit="0" vertical="center" wrapText="0"/>
    </xf>
    <xf borderId="8" fillId="6" fontId="9" numFmtId="3" xfId="0" applyAlignment="1" applyBorder="1" applyFill="1" applyFont="1" applyNumberFormat="1">
      <alignment shrinkToFit="0" vertical="center" wrapText="0"/>
    </xf>
    <xf borderId="9" fillId="6" fontId="9" numFmtId="169" xfId="0" applyAlignment="1" applyBorder="1" applyFont="1" applyNumberFormat="1">
      <alignment horizontal="right" shrinkToFit="0" vertical="center" wrapText="0"/>
    </xf>
    <xf borderId="9" fillId="6" fontId="9" numFmtId="4" xfId="0" applyAlignment="1" applyBorder="1" applyFont="1" applyNumberFormat="1">
      <alignment shrinkToFit="0" vertical="center" wrapText="0"/>
    </xf>
    <xf borderId="9" fillId="6" fontId="2" numFmtId="4" xfId="0" applyAlignment="1" applyBorder="1" applyFont="1" applyNumberFormat="1">
      <alignment shrinkToFit="0" vertical="center" wrapText="0"/>
    </xf>
    <xf borderId="9" fillId="6" fontId="9" numFmtId="4" xfId="0" applyAlignment="1" applyBorder="1" applyFont="1" applyNumberFormat="1">
      <alignment horizontal="right" shrinkToFit="0" vertical="center" wrapText="0"/>
    </xf>
    <xf borderId="9" fillId="6" fontId="2" numFmtId="10" xfId="0" applyAlignment="1" applyBorder="1" applyFont="1" applyNumberFormat="1">
      <alignment shrinkToFit="0" vertical="center" wrapText="0"/>
    </xf>
    <xf borderId="9" fillId="6" fontId="9" numFmtId="10" xfId="0" applyAlignment="1" applyBorder="1" applyFont="1" applyNumberFormat="1">
      <alignment horizontal="right" shrinkToFit="0" vertical="center" wrapText="0"/>
    </xf>
    <xf borderId="9" fillId="6" fontId="9" numFmtId="0" xfId="0" applyAlignment="1" applyBorder="1" applyFont="1">
      <alignment horizontal="right" shrinkToFit="0" vertical="center" wrapText="0"/>
    </xf>
    <xf borderId="9" fillId="6" fontId="9" numFmtId="3" xfId="0" applyAlignment="1" applyBorder="1" applyFont="1" applyNumberFormat="1">
      <alignment horizontal="right" shrinkToFit="0" vertical="center" wrapText="0"/>
    </xf>
    <xf borderId="9" fillId="6" fontId="9" numFmtId="168" xfId="0" applyAlignment="1" applyBorder="1" applyFont="1" applyNumberFormat="1">
      <alignment horizontal="right" shrinkToFit="0" vertical="center" wrapText="0"/>
    </xf>
    <xf borderId="9" fillId="6" fontId="11" numFmtId="4" xfId="0" applyAlignment="1" applyBorder="1" applyFont="1" applyNumberFormat="1">
      <alignment shrinkToFit="0" vertical="center" wrapText="0"/>
    </xf>
    <xf borderId="10" fillId="6" fontId="9" numFmtId="3" xfId="0" applyAlignment="1" applyBorder="1" applyFont="1" applyNumberFormat="1">
      <alignment horizontal="right" shrinkToFit="0" vertical="center" wrapText="0"/>
    </xf>
    <xf borderId="6" fillId="5" fontId="2" numFmtId="10" xfId="0" applyAlignment="1" applyBorder="1" applyFont="1" applyNumberFormat="1">
      <alignment shrinkToFit="0" vertical="center" wrapText="0"/>
    </xf>
    <xf borderId="9" fillId="6" fontId="9" numFmtId="0" xfId="0" applyAlignment="1" applyBorder="1" applyFont="1">
      <alignment shrinkToFit="0" vertical="center" wrapText="0"/>
    </xf>
    <xf borderId="9" fillId="6" fontId="2" numFmtId="0" xfId="0" applyAlignment="1" applyBorder="1" applyFont="1">
      <alignment shrinkToFit="0" vertical="center" wrapText="0"/>
    </xf>
    <xf borderId="9" fillId="6" fontId="12" numFmtId="0" xfId="0" applyAlignment="1" applyBorder="1" applyFont="1">
      <alignment shrinkToFit="0" vertical="center" wrapText="0"/>
    </xf>
    <xf borderId="10" fillId="6" fontId="9" numFmtId="0" xfId="0" applyAlignment="1" applyBorder="1" applyFont="1">
      <alignment horizontal="right" shrinkToFit="0" vertical="center" wrapText="0"/>
    </xf>
    <xf borderId="6" fillId="5" fontId="9" numFmtId="0" xfId="0" applyAlignment="1" applyBorder="1" applyFont="1">
      <alignment shrinkToFit="0" vertical="center" wrapText="0"/>
    </xf>
    <xf borderId="6" fillId="5" fontId="9" numFmtId="172" xfId="0" applyAlignment="1" applyBorder="1" applyFont="1" applyNumberFormat="1">
      <alignment horizontal="right" shrinkToFit="0" vertical="center" wrapText="0"/>
    </xf>
    <xf borderId="6" fillId="5" fontId="2" numFmtId="0" xfId="0" applyAlignment="1" applyBorder="1" applyFont="1">
      <alignment shrinkToFit="0" vertical="center" wrapText="0"/>
    </xf>
    <xf borderId="6" fillId="5" fontId="2" numFmtId="168" xfId="0" applyAlignment="1" applyBorder="1" applyFont="1" applyNumberFormat="1">
      <alignment shrinkToFit="0" vertical="center" wrapText="0"/>
    </xf>
    <xf borderId="6" fillId="5" fontId="13" numFmtId="0" xfId="0" applyAlignment="1" applyBorder="1" applyFont="1">
      <alignment shrinkToFit="0" vertical="center" wrapText="0"/>
    </xf>
    <xf borderId="7" fillId="5" fontId="9" numFmtId="0" xfId="0" applyAlignment="1" applyBorder="1" applyFont="1">
      <alignment horizontal="right" shrinkToFit="0" vertical="center" wrapText="0"/>
    </xf>
    <xf quotePrefix="1" borderId="9" fillId="6" fontId="9" numFmtId="0" xfId="0" applyAlignment="1" applyBorder="1" applyFont="1">
      <alignment shrinkToFit="0" vertical="center" wrapText="0"/>
    </xf>
    <xf quotePrefix="1" borderId="6" fillId="5" fontId="9" numFmtId="0" xfId="0" applyAlignment="1" applyBorder="1" applyFont="1">
      <alignment shrinkToFit="0" vertical="center" wrapText="0"/>
    </xf>
    <xf quotePrefix="1" borderId="7" fillId="5" fontId="9" numFmtId="0" xfId="0" applyAlignment="1" applyBorder="1" applyFont="1">
      <alignment shrinkToFit="0" vertical="center" wrapText="0"/>
    </xf>
    <xf quotePrefix="1" borderId="10" fillId="6" fontId="9" numFmtId="0" xfId="0" applyAlignment="1" applyBorder="1" applyFont="1">
      <alignment shrinkToFit="0" vertical="center" wrapText="0"/>
    </xf>
    <xf borderId="5" fillId="5" fontId="9" numFmtId="49" xfId="0" applyAlignment="1" applyBorder="1" applyFont="1" applyNumberFormat="1">
      <alignment shrinkToFit="0" vertical="center" wrapText="0"/>
    </xf>
    <xf borderId="8" fillId="6" fontId="9" numFmtId="49" xfId="0" applyAlignment="1" applyBorder="1" applyFont="1" applyNumberFormat="1">
      <alignment shrinkToFit="0" vertical="center" wrapText="0"/>
    </xf>
    <xf borderId="6" fillId="5" fontId="9" numFmtId="173" xfId="0" applyAlignment="1" applyBorder="1" applyFont="1" applyNumberFormat="1">
      <alignment horizontal="right" shrinkToFit="0" vertical="center" wrapText="0"/>
    </xf>
    <xf quotePrefix="1" borderId="8" fillId="6" fontId="9" numFmtId="49" xfId="0" applyAlignment="1" applyBorder="1" applyFont="1" applyNumberFormat="1">
      <alignment shrinkToFit="0" vertical="center" wrapText="0"/>
    </xf>
    <xf quotePrefix="1" borderId="5" fillId="5" fontId="9" numFmtId="49" xfId="0" applyAlignment="1" applyBorder="1" applyFont="1" applyNumberFormat="1">
      <alignment shrinkToFit="0" vertical="center" wrapText="0"/>
    </xf>
    <xf borderId="8" fillId="6" fontId="2" numFmtId="49" xfId="0" applyAlignment="1" applyBorder="1" applyFont="1" applyNumberFormat="1">
      <alignment shrinkToFit="0" vertical="center" wrapText="0"/>
    </xf>
    <xf borderId="5" fillId="5" fontId="2" numFmtId="49" xfId="0" applyAlignment="1" applyBorder="1" applyFont="1" applyNumberFormat="1">
      <alignment shrinkToFit="0" vertical="center" wrapText="0"/>
    </xf>
    <xf borderId="6" fillId="5" fontId="9" numFmtId="10" xfId="0" applyAlignment="1" applyBorder="1" applyFont="1" applyNumberFormat="1">
      <alignment horizontal="center" shrinkToFit="0" vertical="center" wrapText="0"/>
    </xf>
    <xf borderId="6" fillId="5" fontId="2" numFmtId="3" xfId="0" applyAlignment="1" applyBorder="1" applyFont="1" applyNumberFormat="1">
      <alignment shrinkToFit="0" vertical="center" wrapText="0"/>
    </xf>
    <xf borderId="7" fillId="5" fontId="2" numFmtId="0" xfId="0" applyAlignment="1" applyBorder="1" applyFont="1">
      <alignment shrinkToFit="0" vertical="center" wrapText="0"/>
    </xf>
    <xf borderId="9" fillId="6" fontId="9" numFmtId="10" xfId="0" applyAlignment="1" applyBorder="1" applyFont="1" applyNumberFormat="1">
      <alignment horizontal="center" shrinkToFit="0" vertical="center" wrapText="0"/>
    </xf>
    <xf borderId="9" fillId="6" fontId="2" numFmtId="3" xfId="0" applyAlignment="1" applyBorder="1" applyFont="1" applyNumberFormat="1">
      <alignment shrinkToFit="0" vertical="center" wrapText="0"/>
    </xf>
    <xf borderId="10" fillId="6" fontId="2" numFmtId="0" xfId="0" applyAlignment="1" applyBorder="1" applyFont="1">
      <alignment shrinkToFit="0" vertical="center" wrapText="0"/>
    </xf>
    <xf borderId="11" fillId="6" fontId="2" numFmtId="49" xfId="0" applyAlignment="1" applyBorder="1" applyFont="1" applyNumberFormat="1">
      <alignment shrinkToFit="0" vertical="center" wrapText="0"/>
    </xf>
    <xf borderId="12" fillId="6" fontId="2" numFmtId="0" xfId="0" applyAlignment="1" applyBorder="1" applyFont="1">
      <alignment shrinkToFit="0" vertical="center" wrapText="0"/>
    </xf>
    <xf borderId="12" fillId="6" fontId="9" numFmtId="10" xfId="0" applyAlignment="1" applyBorder="1" applyFont="1" applyNumberFormat="1">
      <alignment horizontal="center" shrinkToFit="0" vertical="center" wrapText="0"/>
    </xf>
    <xf borderId="12" fillId="6" fontId="2" numFmtId="3" xfId="0" applyAlignment="1" applyBorder="1" applyFont="1" applyNumberFormat="1">
      <alignment shrinkToFit="0" vertical="center" wrapText="0"/>
    </xf>
    <xf borderId="13" fillId="6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E6F7E3"/>
          <bgColor rgb="FFE6F7E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Результаты измерений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I261" displayName="Table1" name="Table1" id="1">
  <tableColumns count="61">
    <tableColumn name="Тест №" id="1"/>
    <tableColumn name="Дата тестирования" id="2"/>
    <tableColumn name="Сценарий" id="3"/>
    <tableColumn name="Профиль нагрузки" id="4"/>
    <tableColumn name="Начало теста (Т0)" id="5"/>
    <tableColumn name="Конец теста (Т1)" id="6"/>
    <tableColumn name="Planned RPS" id="7"/>
    <tableColumn name="Auth Requests (increase)" id="8"/>
    <tableColumn name="CPU Throttling max per pod (%)" id="9"/>
    <tableColumn name="CPU Throttling avg across pods (%)" id="10"/>
    <tableColumn name="Run-queue (node load1 / CPU) peak" id="11"/>
    <tableColumn name="Pod Working Set Δ max (MiB)" id="12"/>
    <tableColumn name="UDP drops/errors per pod (sum)" id="13"/>
    <tableColumn name="UDP drops/errors per node (sum)" id="14"/>
    <tableColumn name="Per-pod RPS p50" id="15"/>
    <tableColumn name="Per-pod RPS p95" id="16"/>
    <tableColumn name="LB imbalance (CV)" id="17"/>
    <tableColumn name="Actual CPU Limit (mCPU)" id="18"/>
    <tableColumn name="Actual CPU Request (mCPU)" id="19"/>
    <tableColumn name="Memory Limit (MiB)" id="20"/>
    <tableColumn name="Memory Request (MiB)" id="21"/>
    <tableColumn name="Max VUS" id="22"/>
    <tableColumn name="Итераций (всего)" id="23"/>
    <tableColumn name="Dropped итераций" id="24"/>
    <tableColumn name="Успешных аутентификаций" id="25"/>
    <tableColumn name="Success Rate (%)" id="26"/>
    <tableColumn name="Неудачных аутентификаций" id="27"/>
    <tableColumn name="Failure Rate (%)" id="28"/>
    <tableColumn name="Таймауты" id="29"/>
    <tableColumn name="Timeout Rate (%)" id="30"/>
    <tableColumn name="Ошибки валидации сертификата" id="31"/>
    <tableColumn name="Cert Validation Errors (%)" id="32"/>
    <tableColumn name="Auth Duration (avg, ms)" id="33"/>
    <tableColumn name="Auth Duration P95 (ms)" id="34"/>
    <tableColumn name="Auth Duration Max (ms)" id="35"/>
    <tableColumn name="Iteration Duration (avg, ms)" id="36"/>
    <tableColumn name="Iteration Duration Max (ms)" id="37"/>
    <tableColumn name="Количество подов" id="38"/>
    <tableColumn name="Client Peak RPS (система)" id="39"/>
    <tableColumn name="Client Peak RPS per pod" id="40"/>
    <tableColumn name="Pod CPU Peak (cores)" id="41"/>
    <tableColumn name="Pod CPU Peak (mCPU)" id="42"/>
    <tableColumn name="Pod Memory Peak (MiB)" id="43"/>
    <tableColumn name="Node CPU Utilization Peak (%)" id="44"/>
    <tableColumn name="Node Memory Utilization Peak (%)" id="45"/>
    <tableColumn name="CPU Limit Recommended (mCPU)" id="46"/>
    <tableColumn name="Memory Limit Recommended (MiB)" id="47"/>
    <tableColumn name="CPU Request Recommended (mCPU)" id="48"/>
    <tableColumn name="Memory Request Recommended (MiB)" id="49"/>
    <tableColumn name="Статус" id="50"/>
    <tableColumn name="Ссылка на дашборд" id="51"/>
    <tableColumn name="Ссылка на снэпшот дашборда" id="52"/>
    <tableColumn name="Примечание" id="53"/>
    <tableColumn name="Команда для запуска" id="54"/>
    <tableColumn name="Уникальных пользователей" id="55"/>
    <tableColumn name="Уникальных NAS-IP" id="56"/>
    <tableColumn name="MAC-адресов" id="57"/>
    <tableColumn name="Количество нод" id="58"/>
    <tableColumn name="CPU на ноду" id="59"/>
    <tableColumn name="RAM на ноду" id="60"/>
    <tableColumn name="Storage на ноду" id="61"/>
  </tableColumns>
  <tableStyleInfo name="Результаты измерений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10.116.41.195/grafana/d/edo-radius-full/edo-radius3a-full-auth-acct-2b-kafka-2b-infra?orgId=1&amp;from=1762874281952&amp;to=1762874581974" TargetMode="External"/><Relationship Id="rId42" Type="http://schemas.openxmlformats.org/officeDocument/2006/relationships/hyperlink" Target="https://10.116.41.195/grafana/d/edo-radius-full/edo-radius3a-full-auth-acct-2b-kafka-2b-infra?orgId=1&amp;from=1762875098679&amp;to=1762876298989" TargetMode="External"/><Relationship Id="rId41" Type="http://schemas.openxmlformats.org/officeDocument/2006/relationships/hyperlink" Target="https://10.116.41.195/grafana/d/edo-radius-full/edo-radius3a-full-auth-acct-2b-kafka-2b-infra?orgId=1&amp;from=1762874716950&amp;to=1762875019131" TargetMode="External"/><Relationship Id="rId44" Type="http://schemas.openxmlformats.org/officeDocument/2006/relationships/hyperlink" Target="https://10.116.41.195/grafana/d/edo-radius-full/edo-radius3a-full-auth-acct-2b-kafka-2b-infra?orgId=1&amp;from=1762870626029&amp;to=1762870926045" TargetMode="External"/><Relationship Id="rId43" Type="http://schemas.openxmlformats.org/officeDocument/2006/relationships/hyperlink" Target="https://10.116.41.195/grafana/d/edo-radius-full/edo-radius3a-full-auth-acct-2b-kafka-2b-infra?orgId=1&amp;from=1762873824794&amp;to=1762874064812" TargetMode="External"/><Relationship Id="rId46" Type="http://schemas.openxmlformats.org/officeDocument/2006/relationships/hyperlink" Target="https://10.116.41.195/grafana/d/edo-radius-full/edo-radius3a-full-auth-acct-2b-kafka-2b-infra?orgId=1&amp;from=1762872618823&amp;to=1762872919767" TargetMode="External"/><Relationship Id="rId45" Type="http://schemas.openxmlformats.org/officeDocument/2006/relationships/hyperlink" Target="https://10.116.41.195/grafana/d/edo-radius-full/edo-radius3a-full-auth-acct-2b-kafka-2b-infra?orgId=1&amp;from=1762871077885&amp;to=1762872278236" TargetMode="External"/><Relationship Id="rId107" Type="http://schemas.openxmlformats.org/officeDocument/2006/relationships/hyperlink" Target="https://10.116.41.195/grafana/d/edo-radius-full/edo-radius3a-full-auth-acct-2b-kafka-2b-infra?orgId=1&amp;from=1763115667692&amp;to=1763116012328" TargetMode="External"/><Relationship Id="rId106" Type="http://schemas.openxmlformats.org/officeDocument/2006/relationships/hyperlink" Target="https://10.116.41.195/grafana/d/edo-radius-full/edo-radius3a-full-auth-acct-2b-kafka-2b-infra?orgId=1&amp;from=1763115088130&amp;to=1763115388160" TargetMode="External"/><Relationship Id="rId105" Type="http://schemas.openxmlformats.org/officeDocument/2006/relationships/hyperlink" Target="https://10.116.41.195/grafana/d/edo-radius-full/edo-radius3a-full-auth-acct-2b-kafka-2b-infra?orgId=1&amp;from=1763111905900&amp;to=1763112145924" TargetMode="External"/><Relationship Id="rId104" Type="http://schemas.openxmlformats.org/officeDocument/2006/relationships/hyperlink" Target="https://10.116.41.195/grafana/d/edo-radius-full/edo-radius3a-full-auth-acct-2b-kafka-2b-infra?orgId=1&amp;from=1763110432935&amp;to=1763111633173" TargetMode="External"/><Relationship Id="rId109" Type="http://schemas.openxmlformats.org/officeDocument/2006/relationships/hyperlink" Target="https://10.116.41.195/grafana/d/edo-radius-full/edo-radius3a-full-auth-acct-2b-kafka-2b-infra?orgId=1&amp;from=1763117696629&amp;to=1763117962058" TargetMode="External"/><Relationship Id="rId108" Type="http://schemas.openxmlformats.org/officeDocument/2006/relationships/hyperlink" Target="https://10.116.41.195/grafana/d/edo-radius-full/edo-radius3a-full-auth-acct-2b-kafka-2b-infra?orgId=1&amp;from=1763116306043&amp;to=1763117515536" TargetMode="External"/><Relationship Id="rId48" Type="http://schemas.openxmlformats.org/officeDocument/2006/relationships/hyperlink" Target="https://10.116.41.195/grafana/d/edo-radius-full/edo-radius3a-full-auth-acct-2b-kafka-2b-infra?orgId=1&amp;from=1762880439497&amp;to=1762880752196" TargetMode="External"/><Relationship Id="rId47" Type="http://schemas.openxmlformats.org/officeDocument/2006/relationships/hyperlink" Target="https://10.116.41.195/grafana/d/edo-radius-full/edo-radius3a-full-auth-acct-2b-kafka-2b-infra?orgId=1&amp;from=1762873243142&amp;to=1762873486145" TargetMode="External"/><Relationship Id="rId186" Type="http://schemas.openxmlformats.org/officeDocument/2006/relationships/table" Target="../tables/table1.xml"/><Relationship Id="rId49" Type="http://schemas.openxmlformats.org/officeDocument/2006/relationships/hyperlink" Target="https://10.116.41.195/grafana/d/edo-radius-full/edo-radius3a-full-auth-acct-2b-kafka-2b-infra?orgId=1&amp;from=1762880932033&amp;to=1762881269186" TargetMode="External"/><Relationship Id="rId184" Type="http://schemas.openxmlformats.org/officeDocument/2006/relationships/drawing" Target="../drawings/drawing6.xml"/><Relationship Id="rId103" Type="http://schemas.openxmlformats.org/officeDocument/2006/relationships/hyperlink" Target="https://10.116.41.195/grafana/d/edo-radius-full/edo-radius3a-full-auth-acct-2b-kafka-2b-infra?orgId=1&amp;from=1763110047744&amp;to=1763110348080" TargetMode="External"/><Relationship Id="rId102" Type="http://schemas.openxmlformats.org/officeDocument/2006/relationships/hyperlink" Target="https://10.116.41.195/grafana/d/edo-radius-full/edo-radius3a-full-auth-acct-2b-kafka-2b-infra?orgId=1&amp;from=1763109505933&amp;to=1763109745948" TargetMode="External"/><Relationship Id="rId101" Type="http://schemas.openxmlformats.org/officeDocument/2006/relationships/hyperlink" Target="https://10.116.41.195/grafana/d/edo-radius-full/edo-radius3a-full-auth-acct-2b-kafka-2b-infra?orgId=1&amp;from=1763107549645&amp;to=1763107789667" TargetMode="External"/><Relationship Id="rId100" Type="http://schemas.openxmlformats.org/officeDocument/2006/relationships/hyperlink" Target="https://10.116.41.195/grafana/d/edo-radius-full/edo-radius3a-full-auth-acct-2b-kafka-2b-infra?orgId=1&amp;from=1763106077158&amp;to=1763107277409" TargetMode="External"/><Relationship Id="rId31" Type="http://schemas.openxmlformats.org/officeDocument/2006/relationships/hyperlink" Target="https://10.116.41.195/grafana/d/edo-radius-full/edo-radius3a-full-auth-acct-2b-kafka-2b-infra?orgId=1&amp;from=1762818274496&amp;to=1762819474790" TargetMode="External"/><Relationship Id="rId30" Type="http://schemas.openxmlformats.org/officeDocument/2006/relationships/hyperlink" Target="https://10.116.41.195/grafana/d/edo-radius-full/edo-radius3a-full-auth-acct-2b-kafka-2b-infra?orgId=1&amp;from=1762817768169&amp;to=1762818068467" TargetMode="External"/><Relationship Id="rId33" Type="http://schemas.openxmlformats.org/officeDocument/2006/relationships/hyperlink" Target="https://10.116.41.195/grafana/d/edo-radius-full/edo-radius3a-full-auth-acct-2b-kafka-2b-infra?orgId=1&amp;from=1762821576229&amp;to=1762821876258" TargetMode="External"/><Relationship Id="rId183" Type="http://schemas.openxmlformats.org/officeDocument/2006/relationships/hyperlink" Target="https://10.116.41.195/grafana/d/edo-radius-full/edo-radius3a-full-auth-acct-2b-kafka-2b-infra?orgId=1&amp;from=1763632880145&amp;to=1763633852183" TargetMode="External"/><Relationship Id="rId32" Type="http://schemas.openxmlformats.org/officeDocument/2006/relationships/hyperlink" Target="https://10.116.41.195/grafana/d/edo-radius-full/edo-radius3a-full-auth-acct-2b-kafka-2b-infra?orgId=1&amp;from=1762819651719&amp;to=1762819891740" TargetMode="External"/><Relationship Id="rId182" Type="http://schemas.openxmlformats.org/officeDocument/2006/relationships/hyperlink" Target="https://10.116.41.195/grafana/d/edo-radius-full/edo-radius3a-full-auth-acct-2b-kafka-2b-infra?orgId=1&amp;from=1764261244727&amp;to=1764262204807" TargetMode="External"/><Relationship Id="rId35" Type="http://schemas.openxmlformats.org/officeDocument/2006/relationships/hyperlink" Target="https://10.116.41.195/grafana/d/edo-radius-full/edo-radius3a-full-auth-acct-2b-kafka-2b-infra?orgId=1&amp;from=1762822405327&amp;to=1762823609324" TargetMode="External"/><Relationship Id="rId181" Type="http://schemas.openxmlformats.org/officeDocument/2006/relationships/hyperlink" Target="https://10.116.41.195/grafana/d/edo-radius-full/edo-radius3a-full-auth-acct-2b-kafka-2b-infra?orgId=1&amp;from=1764348066825&amp;to=1764349026894" TargetMode="External"/><Relationship Id="rId34" Type="http://schemas.openxmlformats.org/officeDocument/2006/relationships/hyperlink" Target="https://10.116.41.195/grafana/d/edo-radius-full/edo-radius3a-full-auth-acct-2b-kafka-2b-infra?orgId=1&amp;from=1762821955614&amp;to=1762822258270" TargetMode="External"/><Relationship Id="rId180" Type="http://schemas.openxmlformats.org/officeDocument/2006/relationships/hyperlink" Target="https://10.116.41.195/grafana/d/edo-radius-full/edo-radius3a-full-auth-acct-2b-kafka-2b-infra?orgId=1&amp;from=1764581044950&amp;to=1764581375496" TargetMode="External"/><Relationship Id="rId37" Type="http://schemas.openxmlformats.org/officeDocument/2006/relationships/hyperlink" Target="https://10.116.41.195/grafana/d/edo-radius-full/edo-radius3a-full-auth-acct-2b-kafka-2b-infra?orgId=1&amp;from=1762876897073&amp;to=1762877207153" TargetMode="External"/><Relationship Id="rId176" Type="http://schemas.openxmlformats.org/officeDocument/2006/relationships/hyperlink" Target="https://10.116.41.195/grafana/d/edo-radius-full/edo-radius3a-full-auth-acct-2b-kafka-2b-infra?orgId=1&amp;from=1764587305666&amp;to=1764587576910" TargetMode="External"/><Relationship Id="rId36" Type="http://schemas.openxmlformats.org/officeDocument/2006/relationships/hyperlink" Target="https://10.116.41.195/grafana/d/edo-radius-full/edo-radius3a-full-auth-acct-2b-kafka-2b-infra?orgId=1&amp;from=1762861333398&amp;to=1762861573416" TargetMode="External"/><Relationship Id="rId175" Type="http://schemas.openxmlformats.org/officeDocument/2006/relationships/hyperlink" Target="https://10.116.41.195/grafana/d/edo-radius-full/edo-radius3a-full-auth-acct-2b-kafka-2b-infra?orgId=1&amp;from=1764582860581&amp;to=1764584091791" TargetMode="External"/><Relationship Id="rId39" Type="http://schemas.openxmlformats.org/officeDocument/2006/relationships/hyperlink" Target="https://10.116.41.195/grafana/d/edo-radius-full/edo-radius3a-full-auth-acct-2b-kafka-2b-infra?orgId=1&amp;from=1762877921514&amp;to=1762878177217" TargetMode="External"/><Relationship Id="rId174" Type="http://schemas.openxmlformats.org/officeDocument/2006/relationships/hyperlink" Target="https://10.116.41.195/grafana/d/edo-radius-full/edo-radius3a-full-auth-acct-2b-kafka-2b-infra?orgId=1&amp;from=1764594977931&amp;to=1764596208857" TargetMode="External"/><Relationship Id="rId38" Type="http://schemas.openxmlformats.org/officeDocument/2006/relationships/hyperlink" Target="https://10.116.41.195/grafana/d/edo-radius-full/edo-radius3a-full-auth-acct-2b-kafka-2b-infra?orgId=1&amp;from=1762877431989&amp;to=1762877775928" TargetMode="External"/><Relationship Id="rId173" Type="http://schemas.openxmlformats.org/officeDocument/2006/relationships/hyperlink" Target="https://10.116.41.195/grafana/d/edo-radius-full/edo-radius3a-full-auth-acct-2b-kafka-2b-infra?orgId=1&amp;from=1764593861248&amp;to=1764594191854" TargetMode="External"/><Relationship Id="rId179" Type="http://schemas.openxmlformats.org/officeDocument/2006/relationships/hyperlink" Target="https://10.116.41.195/grafana/d/edo-radius-full/edo-radius3a-full-auth-acct-2b-kafka-2b-infra?orgId=1&amp;from=1764577894980&amp;to=1764579127691" TargetMode="External"/><Relationship Id="rId178" Type="http://schemas.openxmlformats.org/officeDocument/2006/relationships/hyperlink" Target="https://10.116.41.195/events/network-access/authentication/trace/edit/13284036" TargetMode="External"/><Relationship Id="rId177" Type="http://schemas.openxmlformats.org/officeDocument/2006/relationships/hyperlink" Target="https://10.116.41.195/grafana/d/edo-radius-full/edo-radius3a-full-auth-acct-2b-kafka-2b-infra?orgId=1&amp;from=1764576590258&amp;to=1764576920997" TargetMode="External"/><Relationship Id="rId20" Type="http://schemas.openxmlformats.org/officeDocument/2006/relationships/hyperlink" Target="https://10.116.41.195/grafana/d/edo-radius-full/edo-radius3a-full-auth-acct-2b-kafka-2b-infra?orgId=1&amp;from=1762546971921&amp;to=1762547665044" TargetMode="External"/><Relationship Id="rId22" Type="http://schemas.openxmlformats.org/officeDocument/2006/relationships/hyperlink" Target="https://10.116.41.195/grafana/d/edo-radius-full/edo-radius3a-full-auth-acct-2b-kafka-2b-infra?orgId=1&amp;from=1762783244943&amp;to=1762783579106" TargetMode="External"/><Relationship Id="rId21" Type="http://schemas.openxmlformats.org/officeDocument/2006/relationships/hyperlink" Target="https://10.116.41.195/grafana/d/edo-radius-full/edo-radius3a-full-auth-acct-2b-kafka-2b-infra?orgId=1&amp;from=1762782849507&amp;to=1762783181222" TargetMode="External"/><Relationship Id="rId24" Type="http://schemas.openxmlformats.org/officeDocument/2006/relationships/hyperlink" Target="https://10.116.41.195/grafana/d/edo-radius-full/edo-radius3a-full-auth-acct-2b-kafka-2b-infra?orgId=1&amp;from=1762786082540&amp;to=1762786354738" TargetMode="External"/><Relationship Id="rId23" Type="http://schemas.openxmlformats.org/officeDocument/2006/relationships/hyperlink" Target="https://10.116.41.195/grafana/d/edo-radius-full/edo-radius3a-full-auth-acct-2b-kafka-2b-infra?orgId=1&amp;from=1762784519494&amp;to=1762785750259" TargetMode="External"/><Relationship Id="rId129" Type="http://schemas.openxmlformats.org/officeDocument/2006/relationships/hyperlink" Target="https://10.116.41.195/grafana/d/edo-radius-full/edo-radius3a-full-auth-acct-2b-kafka-2b-infra?orgId=1&amp;from=1763131670884&amp;to=1763131910915" TargetMode="External"/><Relationship Id="rId128" Type="http://schemas.openxmlformats.org/officeDocument/2006/relationships/hyperlink" Target="https://10.116.41.195/grafana/d/edo-radius-full/edo-radius3a-full-auth-acct-2b-kafka-2b-infra?orgId=1&amp;from=1763130104730&amp;to=1763131304965" TargetMode="External"/><Relationship Id="rId127" Type="http://schemas.openxmlformats.org/officeDocument/2006/relationships/hyperlink" Target="https://10.116.41.195/grafana/d/edo-radius-full/edo-radius3a-full-auth-acct-2b-kafka-2b-infra?orgId=1&amp;from=1763129734184&amp;to=1763130038999" TargetMode="External"/><Relationship Id="rId126" Type="http://schemas.openxmlformats.org/officeDocument/2006/relationships/hyperlink" Target="https://10.116.41.195/grafana/d/edo-radius-full/edo-radius3a-full-auth-acct-2b-kafka-2b-infra?orgId=1&amp;from=1763129077208&amp;to=1763129377234" TargetMode="External"/><Relationship Id="rId26" Type="http://schemas.openxmlformats.org/officeDocument/2006/relationships/hyperlink" Target="https://10.116.41.195/grafana/d/edo-radius-full/edo-radius3a-full-auth-acct-2b-kafka-2b-infra?orgId=1&amp;from=1762853919945&amp;to=1762854254053" TargetMode="External"/><Relationship Id="rId121" Type="http://schemas.openxmlformats.org/officeDocument/2006/relationships/hyperlink" Target="https://10.116.41.195/grafana/d/edo-radius-full/edo-radius3a-full-auth-acct-2b-kafka-2b-infra?orgId=1&amp;from=1763138862941&amp;to=1763139102987" TargetMode="External"/><Relationship Id="rId25" Type="http://schemas.openxmlformats.org/officeDocument/2006/relationships/hyperlink" Target="https://10.116.41.195/grafana/d/edo-radius-full/edo-radius3a-full-auth-acct-2b-kafka-2b-infra?orgId=1&amp;from=1762848758308&amp;to=1762849068864" TargetMode="External"/><Relationship Id="rId120" Type="http://schemas.openxmlformats.org/officeDocument/2006/relationships/hyperlink" Target="https://10.116.41.195/grafana/d/edo-radius-full/edo-radius3a-full-auth-acct-2b-kafka-2b-infra?orgId=1&amp;from=1763137437569&amp;to=1763138648383" TargetMode="External"/><Relationship Id="rId28" Type="http://schemas.openxmlformats.org/officeDocument/2006/relationships/hyperlink" Target="https://10.116.41.195/grafana/d/edo-radius-full/edo-radius3a-full-auth-acct-2b-kafka-2b-infra?orgId=1&amp;from=1762860403852&amp;to=1762860653860" TargetMode="External"/><Relationship Id="rId27" Type="http://schemas.openxmlformats.org/officeDocument/2006/relationships/hyperlink" Target="https://10.116.41.195/grafana/d/edo-radius-full/edo-radius3a-full-auth-acct-2b-kafka-2b-infra?orgId=1&amp;from=1762857883776&amp;to=1762859089720" TargetMode="External"/><Relationship Id="rId125" Type="http://schemas.openxmlformats.org/officeDocument/2006/relationships/hyperlink" Target="https://10.116.41.195/grafana/d/edo-radius-full/edo-radius3a-full-auth-acct-2b-kafka-2b-infra?orgId=1&amp;from=1763135780455&amp;to=1763136020473" TargetMode="External"/><Relationship Id="rId29" Type="http://schemas.openxmlformats.org/officeDocument/2006/relationships/hyperlink" Target="https://10.116.41.195/grafana/d/edo-radius-full/edo-radius3a-full-auth-acct-2b-kafka-2b-infra?orgId=1&amp;from=1762816989916&amp;to=1762817289934" TargetMode="External"/><Relationship Id="rId124" Type="http://schemas.openxmlformats.org/officeDocument/2006/relationships/hyperlink" Target="https://10.116.41.195/grafana/d/edo-radius-full/edo-radius3a-full-auth-acct-2b-kafka-2b-infra?orgId=1&amp;from=1763134339677&amp;to=1763135539904" TargetMode="External"/><Relationship Id="rId123" Type="http://schemas.openxmlformats.org/officeDocument/2006/relationships/hyperlink" Target="https://10.116.41.195/grafana/d/edo-radius-full/edo-radius3a-full-auth-acct-2b-kafka-2b-infra?orgId=1&amp;from=1763133841991&amp;to=1763134142377" TargetMode="External"/><Relationship Id="rId122" Type="http://schemas.openxmlformats.org/officeDocument/2006/relationships/hyperlink" Target="https://10.116.41.195/grafana/d/edo-radius-full/edo-radius3a-full-auth-acct-2b-kafka-2b-infra?orgId=1&amp;from=1763132730160&amp;to=1763133030182" TargetMode="External"/><Relationship Id="rId95" Type="http://schemas.openxmlformats.org/officeDocument/2006/relationships/hyperlink" Target="https://10.116.41.195/grafana/d/edo-radius-full/edo-radius3a-full-auth-acct-2b-kafka-2b-infra?orgId=1&amp;from=1763040212846&amp;to=1763040547568" TargetMode="External"/><Relationship Id="rId94" Type="http://schemas.openxmlformats.org/officeDocument/2006/relationships/hyperlink" Target="https://10.116.41.195/grafana/d/edo-radius-full/edo-radius3a-full-auth-acct-2b-kafka-2b-infra?orgId=1&amp;from=1763039520927&amp;to=1763039840145" TargetMode="External"/><Relationship Id="rId97" Type="http://schemas.openxmlformats.org/officeDocument/2006/relationships/hyperlink" Target="https://10.116.41.195/grafana/d/edo-radius-full/edo-radius3a-full-auth-acct-2b-kafka-2b-infra?orgId=1&amp;from=1763041207868&amp;to=1763041471164" TargetMode="External"/><Relationship Id="rId96" Type="http://schemas.openxmlformats.org/officeDocument/2006/relationships/hyperlink" Target="https://10.116.41.195/grafana/d/edo-radius-full/edo-radius3a-full-auth-acct-2b-kafka-2b-infra?orgId=1&amp;from=1763041543548&amp;to=1763042776839" TargetMode="External"/><Relationship Id="rId11" Type="http://schemas.openxmlformats.org/officeDocument/2006/relationships/hyperlink" Target="https://10.116.41.195/grafana/d/edo-radius-full/edo-radius3a-full-auth-acct-2b-kafka-2b-infra?orgId=1&amp;from=1762505820000&amp;to=1762507919000" TargetMode="External"/><Relationship Id="rId99" Type="http://schemas.openxmlformats.org/officeDocument/2006/relationships/hyperlink" Target="https://10.116.41.195/grafana/d/edo-radius-full/edo-radius3a-full-auth-acct-2b-kafka-2b-infra?orgId=1&amp;from=1763105560506&amp;to=1763105860774" TargetMode="External"/><Relationship Id="rId10" Type="http://schemas.openxmlformats.org/officeDocument/2006/relationships/hyperlink" Target="https://10.116.41.195/grafana/d/edo-radius-full/edo-radius3a-full-auth-acct-2b-kafka-2b-infra?orgId=1&amp;from=1762500920000&amp;to=1762501199000&amp;var-DS_PROMETHEUS=prometheus&amp;var-namespace=edo&amp;var-job=All&amp;var-pod=All&amp;var-node=All&amp;var-kafka_topic=All&amp;var-kafka_group=All&amp;var-status=accepts" TargetMode="External"/><Relationship Id="rId98" Type="http://schemas.openxmlformats.org/officeDocument/2006/relationships/hyperlink" Target="https://10.116.41.195/grafana/d/edo-radius-full/edo-radius3a-full-auth-acct-2b-kafka-2b-infra?orgId=1&amp;from=1763105054402&amp;to=1763105354425" TargetMode="External"/><Relationship Id="rId13" Type="http://schemas.openxmlformats.org/officeDocument/2006/relationships/hyperlink" Target="https://10.116.41.195/grafana/d/edo-radius-full/edo-radius3a-full-auth-acct-2b-kafka-2b-infra?orgId=1&amp;from=1762512513000&amp;to=1762512959000" TargetMode="External"/><Relationship Id="rId12" Type="http://schemas.openxmlformats.org/officeDocument/2006/relationships/hyperlink" Target="https://10.116.41.195/grafana/d/edo-radius-full/edo-radius3a-full-auth-acct-2b-kafka-2b-infra?orgId=1&amp;from=1762510860000&amp;to=1762511460000" TargetMode="External"/><Relationship Id="rId91" Type="http://schemas.openxmlformats.org/officeDocument/2006/relationships/hyperlink" Target="https://10.116.41.195/grafana/d/edo-radius-full/edo-radius3a-full-auth-acct-2b-kafka-2b-infra?orgId=1&amp;from=1762959191102&amp;to=1762959491537" TargetMode="External"/><Relationship Id="rId90" Type="http://schemas.openxmlformats.org/officeDocument/2006/relationships/hyperlink" Target="https://10.116.41.195/grafana/d/edo-radius-full/edo-radius3a-full-auth-acct-2b-kafka-2b-infra?orgId=1&amp;from=1762958501029&amp;to=1762958801049" TargetMode="External"/><Relationship Id="rId93" Type="http://schemas.openxmlformats.org/officeDocument/2006/relationships/hyperlink" Target="https://10.116.41.195/grafana/d/edo-radius-full/edo-radius3a-full-auth-acct-2b-kafka-2b-infra?orgId=1&amp;from=1762959720983&amp;to=1762959961003" TargetMode="External"/><Relationship Id="rId92" Type="http://schemas.openxmlformats.org/officeDocument/2006/relationships/hyperlink" Target="https://10.116.41.195/grafana/d/edo-radius-full/edo-radius3a-full-auth-acct-2b-kafka-2b-infra?orgId=1&amp;from=1762960096308&amp;to=1762961298447" TargetMode="External"/><Relationship Id="rId118" Type="http://schemas.openxmlformats.org/officeDocument/2006/relationships/hyperlink" Target="https://10.116.41.195/grafana/d/edo-radius-full/edo-radius3a-full-auth-acct-2b-kafka-2b-infra?orgId=1&amp;from=1763136254625&amp;to=1763136566089" TargetMode="External"/><Relationship Id="rId117" Type="http://schemas.openxmlformats.org/officeDocument/2006/relationships/hyperlink" Target="https://10.116.41.195/grafana/d/edo-radius-full/edo-radius3a-full-auth-acct-2b-kafka-2b-infra?orgId=1&amp;from=1763126380057&amp;to=1763126620075" TargetMode="External"/><Relationship Id="rId116" Type="http://schemas.openxmlformats.org/officeDocument/2006/relationships/hyperlink" Target="https://10.116.41.195/grafana/d/edo-radius-full/edo-radius3a-full-auth-acct-2b-kafka-2b-infra?orgId=1&amp;from=1763123671077&amp;to=1763124871326" TargetMode="External"/><Relationship Id="rId115" Type="http://schemas.openxmlformats.org/officeDocument/2006/relationships/hyperlink" Target="https://10.116.41.195/grafana/d/edo-radius-full/edo-radius3a-full-auth-acct-2b-kafka-2b-infra?orgId=1&amp;from=1763123223346&amp;to=1763123524684" TargetMode="External"/><Relationship Id="rId119" Type="http://schemas.openxmlformats.org/officeDocument/2006/relationships/hyperlink" Target="https://10.116.41.195/grafana/d/edo-radius-full/edo-radius3a-full-auth-acct-2b-kafka-2b-infra?orgId=1&amp;from=1763136851181&amp;to=1763137180830" TargetMode="External"/><Relationship Id="rId15" Type="http://schemas.openxmlformats.org/officeDocument/2006/relationships/hyperlink" Target="https://10.116.41.195/grafana/d/edo-radius-full/edo-radius3a-full-auth-acct-2b-kafka-2b-infra?orgId=1&amp;from=1762518900000&amp;to=1762519260000" TargetMode="External"/><Relationship Id="rId110" Type="http://schemas.openxmlformats.org/officeDocument/2006/relationships/hyperlink" Target="https://10.116.41.195/grafana/d/edo-radius-full/edo-radius3a-full-auth-acct-2b-kafka-2b-infra?orgId=1&amp;from=1763119331825&amp;to=1763119631843" TargetMode="External"/><Relationship Id="rId14" Type="http://schemas.openxmlformats.org/officeDocument/2006/relationships/hyperlink" Target="https://10.116.41.195/grafana/d/edo-radius-full/edo-radius3a-full-auth-acct-2b-kafka-2b-infra?orgId=1&amp;from=1762520872000&amp;to=1762521142000" TargetMode="External"/><Relationship Id="rId17" Type="http://schemas.openxmlformats.org/officeDocument/2006/relationships/hyperlink" Target="https://10.116.41.195/grafana/d/edo-radius-full/edo-radius3a-full-auth-acct-2b-kafka-2b-infra?orgId=1&amp;from=1762527141000&amp;to=1762528499000" TargetMode="External"/><Relationship Id="rId16" Type="http://schemas.openxmlformats.org/officeDocument/2006/relationships/hyperlink" Target="https://10.116.41.195/grafana/d/edo-radius-full/edo-radius3a-full-auth-acct-2b-kafka-2b-infra?orgId=1&amp;from=1762522898000&amp;to=1762523159000" TargetMode="External"/><Relationship Id="rId19" Type="http://schemas.openxmlformats.org/officeDocument/2006/relationships/hyperlink" Target="https://10.116.41.195/grafana/d/edo-radius-full/edo-radius3a-full-auth-acct-2b-kafka-2b-infra?orgId=1&amp;from=1762542529000&amp;to=1762542995000" TargetMode="External"/><Relationship Id="rId114" Type="http://schemas.openxmlformats.org/officeDocument/2006/relationships/hyperlink" Target="https://10.116.41.195/grafana/d/edo-radius-full/edo-radius3a-full-auth-acct-2b-kafka-2b-infra?orgId=1&amp;from=1763122755374&amp;to=1763123055400" TargetMode="External"/><Relationship Id="rId18" Type="http://schemas.openxmlformats.org/officeDocument/2006/relationships/hyperlink" Target="https://10.116.41.195/grafana/d/edo-radius-full/edo-radius3a-full-auth-acct-2b-kafka-2b-infra?orgId=1&amp;from=1762539021000&amp;to=1762540319000" TargetMode="External"/><Relationship Id="rId113" Type="http://schemas.openxmlformats.org/officeDocument/2006/relationships/hyperlink" Target="https://10.116.41.195/grafana/d/edo-radius-full/edo-radius3a-full-auth-acct-2b-kafka-2b-infra?orgId=1&amp;from=1763121885368&amp;to=1763122125384" TargetMode="External"/><Relationship Id="rId112" Type="http://schemas.openxmlformats.org/officeDocument/2006/relationships/hyperlink" Target="https://10.116.41.195/grafana/d/edo-radius-full/edo-radius3a-full-auth-acct-2b-kafka-2b-infra?orgId=1&amp;from=1763120437475&amp;to=1763121637823" TargetMode="External"/><Relationship Id="rId111" Type="http://schemas.openxmlformats.org/officeDocument/2006/relationships/hyperlink" Target="https://10.116.41.195/grafana/d/edo-radius-full/edo-radius3a-full-auth-acct-2b-kafka-2b-infra?orgId=1&amp;from=1763119845733&amp;to=1763120147419" TargetMode="External"/><Relationship Id="rId84" Type="http://schemas.openxmlformats.org/officeDocument/2006/relationships/hyperlink" Target="https://10.116.41.195/grafana/d/edo-radius-full/edo-radius3a-full-auth-acct-2b-kafka-2b-infra?orgId=1&amp;from=1762964454578&amp;to=1762964758550" TargetMode="External"/><Relationship Id="rId83" Type="http://schemas.openxmlformats.org/officeDocument/2006/relationships/hyperlink" Target="https://10.116.41.195/grafana/d/edo-radius-full/edo-radius3a-full-auth-acct-2b-kafka-2b-infra?orgId=1&amp;from=1762951682802&amp;to=1762951922828" TargetMode="External"/><Relationship Id="rId86" Type="http://schemas.openxmlformats.org/officeDocument/2006/relationships/hyperlink" Target="https://10.116.41.195/grafana/d/edo-radius-full/edo-radius3a-full-auth-acct-2b-kafka-2b-infra?orgId=1&amp;from=1763034857048&amp;to=1763036102160" TargetMode="External"/><Relationship Id="rId85" Type="http://schemas.openxmlformats.org/officeDocument/2006/relationships/hyperlink" Target="https://10.116.41.195/grafana/d/edo-radius-full/edo-radius3a-full-auth-acct-2b-kafka-2b-infra?orgId=1&amp;from=1762964969944&amp;to=1762965319385" TargetMode="External"/><Relationship Id="rId88" Type="http://schemas.openxmlformats.org/officeDocument/2006/relationships/hyperlink" Target="https://10.116.41.195/grafana/d/edo-radius-full/edo-radius3a-full-auth-acct-2b-kafka-2b-infra?orgId=1&amp;from=1762962269614&amp;to=1762962569945" TargetMode="External"/><Relationship Id="rId150" Type="http://schemas.openxmlformats.org/officeDocument/2006/relationships/hyperlink" Target="https://10.116.41.195/grafana/d/edo-radius-full/edo-radius3a-full-auth-acct-2b-kafka-2b-infra?orgId=1&amp;from=1764323994339&amp;to=1764324954451" TargetMode="External"/><Relationship Id="rId87" Type="http://schemas.openxmlformats.org/officeDocument/2006/relationships/hyperlink" Target="https://10.116.41.195/grafana/d/edo-radius-full/edo-radius3a-full-auth-acct-2b-kafka-2b-infra?orgId=1&amp;from=1762961855924&amp;to=1762962155944" TargetMode="External"/><Relationship Id="rId89" Type="http://schemas.openxmlformats.org/officeDocument/2006/relationships/hyperlink" Target="https://10.116.41.195/grafana/d/edo-radius-full/edo-radius3a-full-auth-acct-2b-kafka-2b-infra?orgId=1&amp;from=1762962772584&amp;to=1762963972913" TargetMode="External"/><Relationship Id="rId80" Type="http://schemas.openxmlformats.org/officeDocument/2006/relationships/hyperlink" Target="https://10.116.41.195/grafana/d/edo-radius-full/edo-radius3a-full-auth-acct-2b-kafka-2b-infra?orgId=1&amp;from=1762950522248&amp;to=1762950822269" TargetMode="External"/><Relationship Id="rId82" Type="http://schemas.openxmlformats.org/officeDocument/2006/relationships/hyperlink" Target="https://10.116.41.195/grafana/d/edo-radius-full/edo-radius3a-full-auth-acct-2b-kafka-2b-infra?orgId=1&amp;from=1762954672300&amp;to=1762955872543" TargetMode="External"/><Relationship Id="rId81" Type="http://schemas.openxmlformats.org/officeDocument/2006/relationships/hyperlink" Target="https://10.116.41.195/grafana/d/edo-radius-full/edo-radius3a-full-auth-acct-2b-kafka-2b-infra?orgId=1&amp;from=1762951318667&amp;to=1762951619139" TargetMode="External"/><Relationship Id="rId1" Type="http://schemas.openxmlformats.org/officeDocument/2006/relationships/hyperlink" Target="https://10.116.41.195/grafana/d/edo-radius-full/edo-radius3a-full-auth-acct-2b-kafka-2b-infra?orgId=1&amp;from=1761920400000&amp;to=1761921179000" TargetMode="External"/><Relationship Id="rId2" Type="http://schemas.openxmlformats.org/officeDocument/2006/relationships/hyperlink" Target="https://drive.google.com/file/d/1OR__7dNjP1jQKnc_5IiPKTGIsqmJrNTC/view?usp=drive_link" TargetMode="External"/><Relationship Id="rId3" Type="http://schemas.openxmlformats.org/officeDocument/2006/relationships/hyperlink" Target="https://10.116.41.195/grafana/d/edo-radius-full/edo-radius3a-full-auth-acct-2b-kafka-2b-infra?orgId=1&amp;from=1761982980000&amp;to=1761983399000" TargetMode="External"/><Relationship Id="rId149" Type="http://schemas.openxmlformats.org/officeDocument/2006/relationships/hyperlink" Target="https://10.116.41.195/grafana/d/edo-radius-full/edo-radius3a-full-auth-acct-2b-kafka-2b-infra?orgId=1&amp;from=1764321197854&amp;to=1764322158060" TargetMode="External"/><Relationship Id="rId4" Type="http://schemas.openxmlformats.org/officeDocument/2006/relationships/hyperlink" Target="https://drive.google.com/file/d/1gd47OSmC3jDlRZwNvmDbz-kjzoBS3Gbq/view?usp=drive_link" TargetMode="External"/><Relationship Id="rId148" Type="http://schemas.openxmlformats.org/officeDocument/2006/relationships/hyperlink" Target="https://10.116.41.195/grafana/d/edo-radius-full/edo-radius3a-full-auth-acct-2b-kafka-2b-infra?orgId=1&amp;from=1764318182795&amp;to=1764319142869" TargetMode="External"/><Relationship Id="rId9" Type="http://schemas.openxmlformats.org/officeDocument/2006/relationships/hyperlink" Target="https://10.116.41.195/grafana/d/edo-radius-full/edo-radius3a-full-auth-acct-2b-kafka-2b-infra?orgId=1&amp;from=1762419540000&amp;to=1762419959000" TargetMode="External"/><Relationship Id="rId143" Type="http://schemas.openxmlformats.org/officeDocument/2006/relationships/hyperlink" Target="https://10.116.41.195/grafana/d/edo-radius-full/edo-radius3a-full-auth-acct-2b-kafka-2b-infra?orgId=1&amp;from=1763633948145&amp;to=1763635273451" TargetMode="External"/><Relationship Id="rId142" Type="http://schemas.openxmlformats.org/officeDocument/2006/relationships/hyperlink" Target="https://10.116.41.195/grafana/d/edo-radius-full/edo-radius3a-full-auth-acct-2b-kafka-2b-infra?orgId=1&amp;from=1763420025939&amp;to=1763420325949" TargetMode="External"/><Relationship Id="rId141" Type="http://schemas.openxmlformats.org/officeDocument/2006/relationships/hyperlink" Target="https://10.116.41.195/grafana/d/edo-radius-full/edo-radius3a-full-auth-acct-2b-kafka-2b-infra?orgId=1&amp;from=1763382335505&amp;to=1763382635671" TargetMode="External"/><Relationship Id="rId140" Type="http://schemas.openxmlformats.org/officeDocument/2006/relationships/hyperlink" Target="https://10.116.41.195/grafana/d/edo-radius-full/edo-radius3a-full-auth-acct-2b-kafka-2b-infra?orgId=1&amp;from=1763379981991&amp;to=1763381182154" TargetMode="External"/><Relationship Id="rId5" Type="http://schemas.openxmlformats.org/officeDocument/2006/relationships/hyperlink" Target="https://10.116.41.195/grafana/d/edo-radius-full/edo-radius3a-full-auth-acct-2b-kafka-2b-infra?orgId=1&amp;from=1761998400000&amp;to=1761998879000" TargetMode="External"/><Relationship Id="rId147" Type="http://schemas.openxmlformats.org/officeDocument/2006/relationships/hyperlink" Target="https://10.116.41.195/grafana/d/edo-radius-full/edo-radius3a-full-auth-acct-2b-kafka-2b-infra?orgId=1&amp;from=1764315575334&amp;to=1764316535458" TargetMode="External"/><Relationship Id="rId6" Type="http://schemas.openxmlformats.org/officeDocument/2006/relationships/hyperlink" Target="https://drive.google.com/file/d/17Inj2FthiSjXVZgFtMs4RjI3k6vaiHar/view?usp=drive_link" TargetMode="External"/><Relationship Id="rId146" Type="http://schemas.openxmlformats.org/officeDocument/2006/relationships/hyperlink" Target="https://10.116.41.195/grafana/d/edo-radius-full/edo-radius3a-full-auth-acct-2b-kafka-2b-infra?orgId=1&amp;from=1764314059764&amp;to=1764314839778" TargetMode="External"/><Relationship Id="rId7" Type="http://schemas.openxmlformats.org/officeDocument/2006/relationships/hyperlink" Target="https://10.116.41.195/grafana/d/edo-radius-full/edo-radius3a-full-auth-acct-2b-kafka-2b-infra?orgId=1&amp;from=1762360200000&amp;to=1762362179000" TargetMode="External"/><Relationship Id="rId145" Type="http://schemas.openxmlformats.org/officeDocument/2006/relationships/hyperlink" Target="https://10.116.41.195/grafana/d/edo-radius-full/edo-radius3a-full-auth-acct-2b-kafka-2b-infra?orgId=1&amp;from=1764312180205&amp;to=1764313140330" TargetMode="External"/><Relationship Id="rId8" Type="http://schemas.openxmlformats.org/officeDocument/2006/relationships/hyperlink" Target="https://drive.google.com/file/d/1IVnneHH1CXyH-FYLRxnJBv9C4wwahXR6/view?usp=drive_link" TargetMode="External"/><Relationship Id="rId144" Type="http://schemas.openxmlformats.org/officeDocument/2006/relationships/hyperlink" Target="https://10.116.41.195/grafana/d/edo-radius-full/edo-radius3a-full-auth-acct-2b-kafka-2b-infra?orgId=1&amp;from=1763590050334&amp;to=1763591027722" TargetMode="External"/><Relationship Id="rId73" Type="http://schemas.openxmlformats.org/officeDocument/2006/relationships/hyperlink" Target="https://10.116.41.195/grafana/d/edo-radius-full/edo-radius3a-full-auth-acct-2b-kafka-2b-infra?orgId=1&amp;from=1762943983719&amp;to=1762944344604" TargetMode="External"/><Relationship Id="rId72" Type="http://schemas.openxmlformats.org/officeDocument/2006/relationships/hyperlink" Target="https://10.116.41.195/grafana/d/edo-radius-full/edo-radius3a-full-auth-acct-2b-kafka-2b-infra?orgId=1&amp;from=1762943585995&amp;to=1762943888902" TargetMode="External"/><Relationship Id="rId75" Type="http://schemas.openxmlformats.org/officeDocument/2006/relationships/hyperlink" Target="https://10.116.41.195/grafana/d/edo-radius-full/edo-radius3a-full-auth-acct-2b-kafka-2b-infra?orgId=1&amp;from=1762946601391&amp;to=1762946871347" TargetMode="External"/><Relationship Id="rId74" Type="http://schemas.openxmlformats.org/officeDocument/2006/relationships/hyperlink" Target="https://10.116.41.195/grafana/d/edo-radius-full/edo-radius3a-full-auth-acct-2b-kafka-2b-infra?orgId=1&amp;from=1762944636348&amp;to=1762945860093" TargetMode="External"/><Relationship Id="rId77" Type="http://schemas.openxmlformats.org/officeDocument/2006/relationships/hyperlink" Target="https://10.116.41.195/grafana/d/edo-radius-full/edo-radius3a-full-auth-acct-2b-kafka-2b-infra?orgId=1&amp;from=1762948336472&amp;to=1762948639707" TargetMode="External"/><Relationship Id="rId76" Type="http://schemas.openxmlformats.org/officeDocument/2006/relationships/hyperlink" Target="https://10.116.41.195/grafana/d/edo-radius-full/edo-radius3a-full-auth-acct-2b-kafka-2b-infra?orgId=1&amp;from=1762947554330&amp;to=1762947854348" TargetMode="External"/><Relationship Id="rId79" Type="http://schemas.openxmlformats.org/officeDocument/2006/relationships/hyperlink" Target="https://10.116.41.195/grafana/d/edo-radius-full/edo-radius3a-full-auth-acct-2b-kafka-2b-infra?orgId=1&amp;from=1762950180986&amp;to=1762950421133" TargetMode="External"/><Relationship Id="rId78" Type="http://schemas.openxmlformats.org/officeDocument/2006/relationships/hyperlink" Target="https://10.116.41.195/grafana/d/edo-radius-full/edo-radius3a-full-auth-acct-2b-kafka-2b-infra?orgId=1&amp;from=1762948823466&amp;to=1762950024923" TargetMode="External"/><Relationship Id="rId71" Type="http://schemas.openxmlformats.org/officeDocument/2006/relationships/hyperlink" Target="https://10.116.41.195/grafana/d/edo-radius-full/edo-radius3a-full-auth-acct-2b-kafka-2b-infra?orgId=1&amp;from=1762934829801&amp;to=1762935069818" TargetMode="External"/><Relationship Id="rId70" Type="http://schemas.openxmlformats.org/officeDocument/2006/relationships/hyperlink" Target="https://10.116.41.195/grafana/d/edo-radius-full/edo-radius3a-full-auth-acct-2b-kafka-2b-infra?orgId=1&amp;from=1762933396768&amp;to=1762934597102" TargetMode="External"/><Relationship Id="rId139" Type="http://schemas.openxmlformats.org/officeDocument/2006/relationships/hyperlink" Target="https://10.116.41.195/grafana/d/edo-radius-full/edo-radius3a-full-auth-acct-2b-kafka-2b-infra?orgId=1&amp;from=1763379338082&amp;to=1763379638280" TargetMode="External"/><Relationship Id="rId138" Type="http://schemas.openxmlformats.org/officeDocument/2006/relationships/hyperlink" Target="https://10.116.41.195/grafana/d/edo-radius-full/edo-radius3a-full-auth-acct-2b-kafka-2b-infra?orgId=1&amp;from=1763378681926&amp;to=1763378981936" TargetMode="External"/><Relationship Id="rId137" Type="http://schemas.openxmlformats.org/officeDocument/2006/relationships/hyperlink" Target="https://10.116.41.195/grafana/d/edo-radius-full/edo-radius3a-full-auth-acct-2b-kafka-2b-infra?orgId=1&amp;from=1763376864546&amp;to=1763377104558" TargetMode="External"/><Relationship Id="rId132" Type="http://schemas.openxmlformats.org/officeDocument/2006/relationships/hyperlink" Target="https://10.116.41.195/grafana/d/edo-radius-full/edo-radius3a-full-auth-acct-2b-kafka-2b-infra?orgId=1&amp;from=1763369006161&amp;to=1763370229090" TargetMode="External"/><Relationship Id="rId131" Type="http://schemas.openxmlformats.org/officeDocument/2006/relationships/hyperlink" Target="https://10.116.41.195/grafana/d/edo-radius-full/edo-radius3a-full-auth-acct-2b-kafka-2b-infra?orgId=1&amp;from=1763367908178&amp;to=1763368237109" TargetMode="External"/><Relationship Id="rId130" Type="http://schemas.openxmlformats.org/officeDocument/2006/relationships/hyperlink" Target="https://10.116.41.195/grafana/d/edo-radius-full/edo-radius3a-full-auth-acct-2b-kafka-2b-infra?orgId=1&amp;from=1763367277920&amp;to=1763367579481" TargetMode="External"/><Relationship Id="rId136" Type="http://schemas.openxmlformats.org/officeDocument/2006/relationships/hyperlink" Target="https://10.116.41.195/grafana/d/edo-radius-full/edo-radius3a-full-auth-acct-2b-kafka-2b-infra?orgId=1&amp;from=1763374450534&amp;to=1763375653389" TargetMode="External"/><Relationship Id="rId135" Type="http://schemas.openxmlformats.org/officeDocument/2006/relationships/hyperlink" Target="https://10.116.41.195/grafana/d/edo-radius-full/edo-radius3a-full-auth-acct-2b-kafka-2b-infra?orgId=1&amp;from=1763372811401&amp;to=1763373111643" TargetMode="External"/><Relationship Id="rId134" Type="http://schemas.openxmlformats.org/officeDocument/2006/relationships/hyperlink" Target="https://10.116.41.195/grafana/d/edo-radius-full/edo-radius3a-full-auth-acct-2b-kafka-2b-infra?orgId=1&amp;from=1763371254957&amp;to=1763371554978" TargetMode="External"/><Relationship Id="rId133" Type="http://schemas.openxmlformats.org/officeDocument/2006/relationships/hyperlink" Target="https://10.116.41.195/grafana/d/edo-radius-full/edo-radius3a-full-auth-acct-2b-kafka-2b-infra?orgId=1&amp;from=1763370478388&amp;to=1763370744781" TargetMode="External"/><Relationship Id="rId62" Type="http://schemas.openxmlformats.org/officeDocument/2006/relationships/hyperlink" Target="https://10.116.41.195/grafana/d/edo-radius-full/edo-radius3a-full-auth-acct-2b-kafka-2b-infra?orgId=1&amp;from=1762940548623&amp;to=1762941784228" TargetMode="External"/><Relationship Id="rId61" Type="http://schemas.openxmlformats.org/officeDocument/2006/relationships/hyperlink" Target="https://10.116.41.195/grafana/d/edo-radius-full/edo-radius3a-full-auth-acct-2b-kafka-2b-infra?orgId=1&amp;from=1762939959667&amp;to=1762940302183" TargetMode="External"/><Relationship Id="rId64" Type="http://schemas.openxmlformats.org/officeDocument/2006/relationships/hyperlink" Target="https://10.116.41.195/grafana/d/edo-radius-full/edo-radius3a-full-auth-acct-2b-kafka-2b-infra?orgId=1&amp;from=1762935878904&amp;to=1762936178922" TargetMode="External"/><Relationship Id="rId63" Type="http://schemas.openxmlformats.org/officeDocument/2006/relationships/hyperlink" Target="https://10.116.41.195/grafana/d/edo-radius-full/edo-radius3a-full-auth-acct-2b-kafka-2b-infra?orgId=1&amp;from=1762942008410&amp;to=1762942271079" TargetMode="External"/><Relationship Id="rId66" Type="http://schemas.openxmlformats.org/officeDocument/2006/relationships/hyperlink" Target="https://10.116.41.195/grafana/d/edo-radius-full/edo-radius3a-full-auth-acct-2b-kafka-2b-infra?orgId=1&amp;from=1762937114936&amp;to=1762938315250" TargetMode="External"/><Relationship Id="rId172" Type="http://schemas.openxmlformats.org/officeDocument/2006/relationships/hyperlink" Target="https://10.116.41.195/grafana/d/edo-radius-full/edo-radius3a-full-auth-acct-2b-kafka-2b-infra?orgId=1&amp;from=1764345695253&amp;to=1764346655460" TargetMode="External"/><Relationship Id="rId65" Type="http://schemas.openxmlformats.org/officeDocument/2006/relationships/hyperlink" Target="https://10.116.41.195/grafana/d/edo-radius-full/edo-radius3a-full-auth-acct-2b-kafka-2b-infra?orgId=1&amp;from=1762936361850&amp;to=1762936662761" TargetMode="External"/><Relationship Id="rId171" Type="http://schemas.openxmlformats.org/officeDocument/2006/relationships/hyperlink" Target="https://10.116.41.195/grafana/d/edo-radius-full/edo-radius3a-full-auth-acct-2b-kafka-2b-infra?orgId=1&amp;from=1764259324918&amp;to=1764260104931" TargetMode="External"/><Relationship Id="rId68" Type="http://schemas.openxmlformats.org/officeDocument/2006/relationships/hyperlink" Target="https://10.116.41.195/grafana/d/edo-radius-full/edo-radius3a-full-auth-acct-2b-kafka-2b-infra?orgId=1&amp;from=1762932019508&amp;to=1762932319525" TargetMode="External"/><Relationship Id="rId170" Type="http://schemas.openxmlformats.org/officeDocument/2006/relationships/hyperlink" Target="https://10.116.41.195/grafana/d/edo-radius-full/edo-radius3a-full-auth-acct-2b-kafka-2b-infra?orgId=1&amp;from=1764257218701&amp;to=1764258178775" TargetMode="External"/><Relationship Id="rId67" Type="http://schemas.openxmlformats.org/officeDocument/2006/relationships/hyperlink" Target="https://10.116.41.195/grafana/d/edo-radius-full/edo-radius3a-full-auth-acct-2b-kafka-2b-infra?orgId=1&amp;from=1762938633393&amp;to=1762938873422" TargetMode="External"/><Relationship Id="rId60" Type="http://schemas.openxmlformats.org/officeDocument/2006/relationships/hyperlink" Target="https://10.116.41.195/grafana/d/edo-radius-full/edo-radius3a-full-auth-acct-2b-kafka-2b-infra?orgId=1&amp;from=1762939412977&amp;to=1762939713012" TargetMode="External"/><Relationship Id="rId165" Type="http://schemas.openxmlformats.org/officeDocument/2006/relationships/hyperlink" Target="https://10.116.41.195/grafana/d/edo-radius-full/edo-radius3a-full-auth-acct-2b-kafka-2b-infra?orgId=1&amp;from=1763980155270&amp;to=1763981115536" TargetMode="External"/><Relationship Id="rId69" Type="http://schemas.openxmlformats.org/officeDocument/2006/relationships/hyperlink" Target="https://10.116.41.195/grafana/d/edo-radius-full/edo-radius3a-full-auth-acct-2b-kafka-2b-infra?orgId=1&amp;from=1762932673523&amp;to=1762932974744" TargetMode="External"/><Relationship Id="rId164" Type="http://schemas.openxmlformats.org/officeDocument/2006/relationships/hyperlink" Target="https://10.116.41.195/grafana/d/edo-radius-full/edo-radius3a-full-auth-acct-2b-kafka-2b-infra?orgId=1&amp;from=1764342919170&amp;to=1764343879243" TargetMode="External"/><Relationship Id="rId163" Type="http://schemas.openxmlformats.org/officeDocument/2006/relationships/hyperlink" Target="https://10.116.41.195/grafana/d/edo-radius-full/edo-radius3a-full-auth-acct-2b-kafka-2b-infra?orgId=1&amp;from=1764341560427&amp;to=1764342520525" TargetMode="External"/><Relationship Id="rId162" Type="http://schemas.openxmlformats.org/officeDocument/2006/relationships/hyperlink" Target="https://10.116.41.195/grafana/d/edo-radius-full/edo-radius3a-full-auth-acct-2b-kafka-2b-infra?orgId=1&amp;from=1764336285986&amp;to=1764337246072" TargetMode="External"/><Relationship Id="rId169" Type="http://schemas.openxmlformats.org/officeDocument/2006/relationships/hyperlink" Target="https://10.116.41.195/grafana/d/edo-radius-full/edo-radius3a-full-auth-acct-2b-kafka-2b-infra?orgId=1&amp;from=1764258330589&amp;to=1764258600602" TargetMode="External"/><Relationship Id="rId168" Type="http://schemas.openxmlformats.org/officeDocument/2006/relationships/hyperlink" Target="https://10.116.41.195/grafana/d/edo-radius-full/edo-radius3a-full-auth-acct-2b-kafka-2b-infra?orgId=1&amp;from=1764241865046&amp;to=1764242645186" TargetMode="External"/><Relationship Id="rId167" Type="http://schemas.openxmlformats.org/officeDocument/2006/relationships/hyperlink" Target="https://10.116.41.195/grafana/d/edo-radius-full/edo-radius3a-full-auth-acct-2b-kafka-2b-infra?orgId=1&amp;from=1764234157211&amp;to=1764235117325" TargetMode="External"/><Relationship Id="rId166" Type="http://schemas.openxmlformats.org/officeDocument/2006/relationships/hyperlink" Target="https://10.116.41.195/grafana/d/edo-radius-full/edo-radius3a-full-auth-acct-2b-kafka-2b-infra?orgId=1&amp;from=1764226872996&amp;to=1764227143011" TargetMode="External"/><Relationship Id="rId51" Type="http://schemas.openxmlformats.org/officeDocument/2006/relationships/hyperlink" Target="https://10.116.41.195/grafana/d/edo-radius-full/edo-radius3a-full-auth-acct-2b-kafka-2b-infra?orgId=1&amp;from=1762882777227&amp;to=1762883061019" TargetMode="External"/><Relationship Id="rId50" Type="http://schemas.openxmlformats.org/officeDocument/2006/relationships/hyperlink" Target="https://10.116.41.195/grafana/d/edo-radius-full/edo-radius3a-full-auth-acct-2b-kafka-2b-infra?orgId=1&amp;from=1762881448027&amp;to=1762882672572" TargetMode="External"/><Relationship Id="rId53" Type="http://schemas.openxmlformats.org/officeDocument/2006/relationships/hyperlink" Target="https://10.116.41.195/grafana/d/edo-radius-full/edo-radius3a-full-auth-acct-2b-kafka-2b-infra?orgId=1&amp;from=1762896195270&amp;to=1762896495712" TargetMode="External"/><Relationship Id="rId52" Type="http://schemas.openxmlformats.org/officeDocument/2006/relationships/hyperlink" Target="https://10.116.41.195/grafana/d/edo-radius-full/edo-radius3a-full-auth-acct-2b-kafka-2b-infra?orgId=1&amp;from=1762895181398&amp;to=1762895481425" TargetMode="External"/><Relationship Id="rId55" Type="http://schemas.openxmlformats.org/officeDocument/2006/relationships/hyperlink" Target="https://10.116.41.195/grafana/d/edo-radius-full/edo-radius3a-full-auth-acct-2b-kafka-2b-infra?orgId=1&amp;from=1762898306500&amp;to=1762898546523" TargetMode="External"/><Relationship Id="rId161" Type="http://schemas.openxmlformats.org/officeDocument/2006/relationships/hyperlink" Target="https://10.116.41.195/grafana/d/edo-radius-full/edo-radius3a-full-auth-acct-2b-kafka-2b-infra?orgId=1&amp;from=1764334690524&amp;to=1764335655420" TargetMode="External"/><Relationship Id="rId54" Type="http://schemas.openxmlformats.org/officeDocument/2006/relationships/hyperlink" Target="https://10.116.41.195/grafana/d/edo-radius-full/edo-radius3a-full-auth-acct-2b-kafka-2b-infra?orgId=1&amp;from=1762896722202&amp;to=1762897922533" TargetMode="External"/><Relationship Id="rId160" Type="http://schemas.openxmlformats.org/officeDocument/2006/relationships/hyperlink" Target="https://10.116.41.195/grafana/d/edo-radius-full/edo-radius3a-full-auth-acct-2b-kafka-2b-infra?orgId=1&amp;from=1764106115824&amp;to=1764106386870" TargetMode="External"/><Relationship Id="rId57" Type="http://schemas.openxmlformats.org/officeDocument/2006/relationships/hyperlink" Target="https://10.116.41.195/grafana/d/edo-radius-full/edo-radius3a-full-auth-acct-2b-kafka-2b-infra?orgId=1&amp;from=1762900835893&amp;to=1762901138708" TargetMode="External"/><Relationship Id="rId56" Type="http://schemas.openxmlformats.org/officeDocument/2006/relationships/hyperlink" Target="https://10.116.41.195/grafana/d/edo-radius-full/edo-radius3a-full-auth-acct-2b-kafka-2b-infra?orgId=1&amp;from=1762899816359&amp;to=1762900116378" TargetMode="External"/><Relationship Id="rId159" Type="http://schemas.openxmlformats.org/officeDocument/2006/relationships/hyperlink" Target="https://10.116.41.195/grafana/d/edo-radius-full/edo-radius3a-full-auth-acct-2b-kafka-2b-infra?orgId=1&amp;from=1764104621751&amp;to=1764105401764" TargetMode="External"/><Relationship Id="rId59" Type="http://schemas.openxmlformats.org/officeDocument/2006/relationships/hyperlink" Target="https://10.116.41.195/grafana/d/edo-radius-full/edo-radius3a-full-auth-acct-2b-kafka-2b-infra?orgId=1&amp;from=1762902640202&amp;to=1762902880223" TargetMode="External"/><Relationship Id="rId154" Type="http://schemas.openxmlformats.org/officeDocument/2006/relationships/hyperlink" Target="https://10.116.41.195/grafana/d/edo-radius-full/edo-radius3a-full-auth-acct-2b-kafka-2b-infra?orgId=1&amp;from=1764099139704&amp;to=1764100099985" TargetMode="External"/><Relationship Id="rId58" Type="http://schemas.openxmlformats.org/officeDocument/2006/relationships/hyperlink" Target="https://10.116.41.195/grafana/d/edo-radius-full/edo-radius3a-full-auth-acct-2b-kafka-2b-infra?orgId=1&amp;from=1762901233892&amp;to=1762902434220" TargetMode="External"/><Relationship Id="rId153" Type="http://schemas.openxmlformats.org/officeDocument/2006/relationships/hyperlink" Target="https://10.116.41.195/grafana/d/edo-radius-full/edo-radius3a-full-auth-acct-2b-kafka-2b-infra?orgId=1&amp;from=1764096540746&amp;to=1764096810764" TargetMode="External"/><Relationship Id="rId152" Type="http://schemas.openxmlformats.org/officeDocument/2006/relationships/hyperlink" Target="https://10.116.41.195/grafana/d/edo-radius-full/edo-radius3a-full-auth-acct-2b-kafka-2b-infra?orgId=1&amp;from=1764331972280&amp;to=1764332932375" TargetMode="External"/><Relationship Id="rId151" Type="http://schemas.openxmlformats.org/officeDocument/2006/relationships/hyperlink" Target="https://10.116.41.195/grafana/d/edo-radius-full/edo-radius3a-full-auth-acct-2b-kafka-2b-infra?orgId=1&amp;from=1764330032160&amp;to=1764330992232" TargetMode="External"/><Relationship Id="rId158" Type="http://schemas.openxmlformats.org/officeDocument/2006/relationships/hyperlink" Target="https://10.116.41.195/grafana/d/edo-radius-full/edo-radius3a-full-auth-acct-2b-kafka-2b-infra?orgId=1&amp;from=1764103428710&amp;to=1764104388787" TargetMode="External"/><Relationship Id="rId157" Type="http://schemas.openxmlformats.org/officeDocument/2006/relationships/hyperlink" Target="https://10.116.41.195/grafana/d/edo-radius-full/edo-radius3a-full-auth-acct-2b-kafka-2b-infra?orgId=1&amp;from=1764102760126&amp;to=1764103030137" TargetMode="External"/><Relationship Id="rId156" Type="http://schemas.openxmlformats.org/officeDocument/2006/relationships/hyperlink" Target="https://10.116.41.195/grafana/d/edo-radius-full/edo-radius3a-full-auth-acct-2b-kafka-2b-infra?orgId=1&amp;from=1764100879344&amp;to=1764101659358" TargetMode="External"/><Relationship Id="rId155" Type="http://schemas.openxmlformats.org/officeDocument/2006/relationships/hyperlink" Target="https://10.116.41.195/grafana/d/edo-radius-full/edo-radius3a-full-auth-acct-2b-kafka-2b-infra?orgId=1&amp;from=1764097500920&amp;to=1764098463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43.0"/>
    <col customWidth="1" min="3" max="3" width="15.14"/>
    <col customWidth="1" min="4" max="4" width="17.43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3">
        <v>8000.0</v>
      </c>
      <c r="D2" s="1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1" t="s">
        <v>8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1" t="s">
        <v>11</v>
      </c>
      <c r="C4" s="1">
        <v>0.0</v>
      </c>
      <c r="D4" s="1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13</v>
      </c>
      <c r="B5" s="1" t="s">
        <v>14</v>
      </c>
      <c r="C5" s="1">
        <v>25.0</v>
      </c>
      <c r="D5" s="1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16</v>
      </c>
      <c r="B6" s="1" t="s">
        <v>17</v>
      </c>
      <c r="C6" s="3">
        <v>1.0</v>
      </c>
      <c r="D6" s="1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1" t="s">
        <v>19</v>
      </c>
      <c r="C7" s="1">
        <v>1.0</v>
      </c>
      <c r="D7" s="1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21</v>
      </c>
      <c r="B8" s="1" t="s">
        <v>22</v>
      </c>
      <c r="C8" s="1">
        <v>10.0</v>
      </c>
      <c r="D8" s="1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23</v>
      </c>
      <c r="B9" s="1" t="s">
        <v>24</v>
      </c>
      <c r="C9" s="3">
        <v>1.0</v>
      </c>
      <c r="D9" s="1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25</v>
      </c>
      <c r="B10" s="3" t="s">
        <v>26</v>
      </c>
      <c r="C10" s="3">
        <v>1.0</v>
      </c>
      <c r="D10" s="1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27</v>
      </c>
      <c r="B11" s="3" t="s">
        <v>28</v>
      </c>
      <c r="C11" s="3">
        <v>1.0</v>
      </c>
      <c r="D11" s="1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29</v>
      </c>
      <c r="B12" s="1" t="s">
        <v>30</v>
      </c>
      <c r="C12" s="3">
        <v>3.0</v>
      </c>
      <c r="D12" s="1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31</v>
      </c>
      <c r="B13" s="3" t="s">
        <v>32</v>
      </c>
      <c r="C13" s="3">
        <v>2.0</v>
      </c>
      <c r="D13" s="3" t="s">
        <v>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34</v>
      </c>
      <c r="B14" s="3" t="s">
        <v>35</v>
      </c>
      <c r="C14" s="3">
        <v>14.0</v>
      </c>
      <c r="D14" s="3" t="s">
        <v>36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37</v>
      </c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38</v>
      </c>
      <c r="B16" s="1" t="s">
        <v>39</v>
      </c>
      <c r="C16" s="1">
        <v>30.0</v>
      </c>
      <c r="D16" s="1" t="s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40</v>
      </c>
      <c r="B17" s="1" t="s">
        <v>41</v>
      </c>
      <c r="C17" s="1">
        <v>60.0</v>
      </c>
      <c r="D17" s="1" t="s">
        <v>42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43</v>
      </c>
      <c r="B18" s="1" t="s">
        <v>44</v>
      </c>
      <c r="C18" s="1">
        <v>1.5</v>
      </c>
      <c r="D18" s="1" t="s">
        <v>42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ataValidations>
    <dataValidation type="list" allowBlank="1" showErrorMessage="1" sqref="C3">
      <formula1>"EAP-TLS,MAB,PEAP"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0"/>
    <col customWidth="1" min="3" max="3" width="9.43"/>
    <col customWidth="1" min="4" max="4" width="44.0"/>
    <col customWidth="1" min="5" max="5" width="35.14"/>
    <col customWidth="1" min="6" max="6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50</v>
      </c>
      <c r="B2" s="1" t="s">
        <v>51</v>
      </c>
      <c r="C2" s="1">
        <v>20.0</v>
      </c>
      <c r="D2" s="1" t="s">
        <v>52</v>
      </c>
      <c r="E2" s="1" t="s">
        <v>53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50</v>
      </c>
      <c r="B3" s="1" t="s">
        <v>54</v>
      </c>
      <c r="C3" s="1">
        <v>0.09</v>
      </c>
      <c r="D3" s="1" t="s">
        <v>55</v>
      </c>
      <c r="E3" s="1" t="s">
        <v>56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50</v>
      </c>
      <c r="B4" s="1" t="s">
        <v>57</v>
      </c>
      <c r="C4" s="1">
        <v>40.0</v>
      </c>
      <c r="D4" s="1" t="s">
        <v>58</v>
      </c>
      <c r="E4" s="1" t="s">
        <v>59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50</v>
      </c>
      <c r="B5" s="3" t="s">
        <v>60</v>
      </c>
      <c r="C5" s="3">
        <v>14.0</v>
      </c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61</v>
      </c>
      <c r="B6" s="1" t="s">
        <v>62</v>
      </c>
      <c r="C6" s="1">
        <v>1.25</v>
      </c>
      <c r="D6" s="1" t="s">
        <v>63</v>
      </c>
      <c r="E6" s="1" t="s">
        <v>64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61</v>
      </c>
      <c r="B7" s="1" t="s">
        <v>65</v>
      </c>
      <c r="C7" s="1">
        <v>0.7</v>
      </c>
      <c r="D7" s="1" t="s">
        <v>66</v>
      </c>
      <c r="E7" s="1" t="s">
        <v>67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61</v>
      </c>
      <c r="B8" s="3" t="s">
        <v>68</v>
      </c>
      <c r="C8" s="3">
        <v>1.15</v>
      </c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69</v>
      </c>
      <c r="B9" s="3" t="s">
        <v>70</v>
      </c>
      <c r="C9" s="3">
        <v>4.0</v>
      </c>
      <c r="D9" s="3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71</v>
      </c>
      <c r="B10" s="3" t="s">
        <v>70</v>
      </c>
      <c r="C10" s="6">
        <v>4.0</v>
      </c>
      <c r="D10" s="3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50</v>
      </c>
      <c r="B11" s="3" t="s">
        <v>70</v>
      </c>
      <c r="C11" s="3">
        <v>5.1</v>
      </c>
      <c r="D11" s="3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72</v>
      </c>
      <c r="B12" s="3" t="s">
        <v>70</v>
      </c>
      <c r="C12" s="3">
        <v>5.0</v>
      </c>
      <c r="D12" s="3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61</v>
      </c>
      <c r="B13" s="3" t="s">
        <v>73</v>
      </c>
      <c r="C13" s="3">
        <f>10+Inputs!C2*0.0006</f>
        <v>14.8</v>
      </c>
      <c r="D13" s="3" t="s">
        <v>74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</v>
      </c>
      <c r="B14" s="1" t="s">
        <v>51</v>
      </c>
      <c r="C14" s="1">
        <v>27.0</v>
      </c>
      <c r="D14" s="1" t="s">
        <v>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</v>
      </c>
      <c r="B15" s="1" t="s">
        <v>54</v>
      </c>
      <c r="C15" s="7">
        <v>0.08871</v>
      </c>
      <c r="D15" s="1" t="s">
        <v>55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9</v>
      </c>
      <c r="B16" s="1" t="s">
        <v>57</v>
      </c>
      <c r="C16" s="1">
        <v>32.44</v>
      </c>
      <c r="D16" s="1" t="s">
        <v>58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71</v>
      </c>
      <c r="B17" s="8" t="s">
        <v>51</v>
      </c>
      <c r="C17" s="6">
        <v>12.0</v>
      </c>
      <c r="D17" s="8" t="s">
        <v>75</v>
      </c>
      <c r="E17" s="9" t="s">
        <v>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71</v>
      </c>
      <c r="B18" s="8" t="s">
        <v>54</v>
      </c>
      <c r="C18" s="6">
        <v>0.21</v>
      </c>
      <c r="D18" s="8" t="s">
        <v>77</v>
      </c>
      <c r="E18" s="9" t="s">
        <v>78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71</v>
      </c>
      <c r="B19" s="8" t="s">
        <v>57</v>
      </c>
      <c r="C19" s="6">
        <v>70.0</v>
      </c>
      <c r="D19" s="8" t="s">
        <v>79</v>
      </c>
      <c r="E19" s="9" t="s">
        <v>80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81</v>
      </c>
      <c r="B20" s="8" t="s">
        <v>51</v>
      </c>
      <c r="C20" s="6">
        <v>7.4</v>
      </c>
      <c r="D20" s="1" t="s">
        <v>75</v>
      </c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81</v>
      </c>
      <c r="B21" s="8" t="s">
        <v>54</v>
      </c>
      <c r="C21" s="6">
        <v>0.23</v>
      </c>
      <c r="D21" s="1" t="s">
        <v>55</v>
      </c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81</v>
      </c>
      <c r="B22" s="8" t="s">
        <v>57</v>
      </c>
      <c r="C22" s="6">
        <v>85.0</v>
      </c>
      <c r="D22" s="1" t="s">
        <v>58</v>
      </c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82</v>
      </c>
      <c r="B23" s="6" t="s">
        <v>51</v>
      </c>
      <c r="C23" s="10">
        <v>20.0</v>
      </c>
      <c r="D23" s="6" t="s">
        <v>83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82</v>
      </c>
      <c r="B24" s="6" t="s">
        <v>54</v>
      </c>
      <c r="C24" s="10">
        <v>0.14</v>
      </c>
      <c r="D24" s="6" t="s">
        <v>84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82</v>
      </c>
      <c r="B25" s="6" t="s">
        <v>57</v>
      </c>
      <c r="C25" s="10">
        <v>50.0</v>
      </c>
      <c r="D25" s="6" t="s">
        <v>85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86</v>
      </c>
      <c r="B26" s="5" t="s">
        <v>51</v>
      </c>
      <c r="C26" s="5">
        <v>22.0</v>
      </c>
      <c r="D26" s="5" t="s">
        <v>87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86</v>
      </c>
      <c r="B27" s="5" t="s">
        <v>54</v>
      </c>
      <c r="C27" s="5">
        <v>0.11</v>
      </c>
      <c r="D27" s="5" t="s">
        <v>88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86</v>
      </c>
      <c r="B28" s="5" t="s">
        <v>57</v>
      </c>
      <c r="C28" s="5">
        <v>40.0</v>
      </c>
      <c r="D28" s="5" t="s">
        <v>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90</v>
      </c>
      <c r="B29" s="6" t="s">
        <v>91</v>
      </c>
      <c r="C29" s="5">
        <v>1.23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90</v>
      </c>
      <c r="B30" s="6" t="s">
        <v>92</v>
      </c>
      <c r="C30" s="5">
        <v>1.23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82</v>
      </c>
      <c r="B31" s="5" t="s">
        <v>93</v>
      </c>
      <c r="C31" s="11">
        <f>(C25-C28)/C28+1</f>
        <v>1.25</v>
      </c>
      <c r="D31" s="5" t="s">
        <v>94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82</v>
      </c>
      <c r="B32" s="5" t="s">
        <v>95</v>
      </c>
      <c r="C32" s="11">
        <f>(C24-C27)/C27+1</f>
        <v>1.272727273</v>
      </c>
      <c r="D32" s="5" t="s">
        <v>96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B33" s="5" t="s">
        <v>97</v>
      </c>
      <c r="C33" s="2">
        <f>C26/C14</f>
        <v>0.8148148148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 t="s">
        <v>61</v>
      </c>
      <c r="B34" s="6" t="s">
        <v>98</v>
      </c>
      <c r="C34" s="10">
        <v>519.0</v>
      </c>
      <c r="D34" s="6" t="s">
        <v>99</v>
      </c>
      <c r="E34" s="6" t="s">
        <v>100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" t="s">
        <v>9</v>
      </c>
      <c r="B35" s="6" t="s">
        <v>101</v>
      </c>
      <c r="C35" s="10">
        <v>9248.0</v>
      </c>
      <c r="D35" s="6" t="s">
        <v>102</v>
      </c>
      <c r="E35" s="6" t="s">
        <v>103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0" t="s">
        <v>104</v>
      </c>
      <c r="B36" s="6" t="s">
        <v>105</v>
      </c>
      <c r="C36" s="10">
        <v>9767.0</v>
      </c>
      <c r="D36" s="6" t="s">
        <v>106</v>
      </c>
      <c r="E36" s="6" t="s">
        <v>107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" t="s">
        <v>108</v>
      </c>
      <c r="B37" s="6" t="s">
        <v>109</v>
      </c>
      <c r="C37" s="10">
        <v>19016.0</v>
      </c>
      <c r="D37" s="6" t="s">
        <v>110</v>
      </c>
      <c r="E37" s="6" t="s">
        <v>111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" t="s">
        <v>112</v>
      </c>
      <c r="B38" s="6" t="s">
        <v>101</v>
      </c>
      <c r="C38" s="10">
        <v>44882.0</v>
      </c>
      <c r="D38" s="6" t="s">
        <v>113</v>
      </c>
      <c r="E38" s="6" t="s">
        <v>114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" t="s">
        <v>50</v>
      </c>
      <c r="B39" s="6" t="s">
        <v>101</v>
      </c>
      <c r="C39" s="10">
        <v>36016.0</v>
      </c>
      <c r="D39" s="6" t="s">
        <v>115</v>
      </c>
      <c r="E39" s="6" t="s">
        <v>116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 t="s">
        <v>72</v>
      </c>
      <c r="B40" s="6" t="s">
        <v>101</v>
      </c>
      <c r="C40" s="10">
        <v>168447.0</v>
      </c>
      <c r="D40" s="6" t="s">
        <v>117</v>
      </c>
      <c r="E40" s="6" t="s">
        <v>118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 t="s">
        <v>119</v>
      </c>
      <c r="B41" s="5" t="s">
        <v>120</v>
      </c>
      <c r="C41" s="6">
        <v>441.3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40.86"/>
    <col customWidth="1" min="3" max="6" width="14.43"/>
  </cols>
  <sheetData>
    <row r="1">
      <c r="A1" s="1" t="s">
        <v>121</v>
      </c>
      <c r="B1" s="1" t="s">
        <v>1</v>
      </c>
      <c r="C1" s="1" t="s">
        <v>50</v>
      </c>
      <c r="D1" s="1" t="s">
        <v>9</v>
      </c>
      <c r="E1" s="8" t="s">
        <v>71</v>
      </c>
      <c r="F1" s="6" t="s">
        <v>122</v>
      </c>
      <c r="G1" s="6" t="s">
        <v>123</v>
      </c>
      <c r="H1" s="6" t="s">
        <v>124</v>
      </c>
      <c r="I1" s="6" t="s">
        <v>125</v>
      </c>
    </row>
    <row r="2">
      <c r="A2" s="1" t="s">
        <v>4</v>
      </c>
      <c r="B2" s="1" t="s">
        <v>126</v>
      </c>
      <c r="C2" s="1">
        <f>Inputs!$C2</f>
        <v>8000</v>
      </c>
      <c r="D2" s="1">
        <f>Inputs!$C2</f>
        <v>8000</v>
      </c>
      <c r="E2" s="8">
        <f>Inputs!$C2</f>
        <v>8000</v>
      </c>
      <c r="F2" s="8">
        <f>Inputs!$C2</f>
        <v>8000</v>
      </c>
      <c r="G2" s="8">
        <f>Inputs!$C2</f>
        <v>8000</v>
      </c>
      <c r="H2" s="8">
        <f>Inputs!$C2</f>
        <v>8000</v>
      </c>
      <c r="I2" s="8">
        <f>Inputs!$C2</f>
        <v>8000</v>
      </c>
    </row>
    <row r="3">
      <c r="A3" s="1" t="s">
        <v>38</v>
      </c>
      <c r="B3" s="1" t="s">
        <v>39</v>
      </c>
      <c r="C3" s="1">
        <f>Inputs!C16</f>
        <v>30</v>
      </c>
      <c r="D3" s="1">
        <f>Inputs!C16</f>
        <v>30</v>
      </c>
      <c r="E3" s="8">
        <f>Inputs!C16</f>
        <v>30</v>
      </c>
      <c r="F3" s="8">
        <f>Inputs!$C16</f>
        <v>30</v>
      </c>
      <c r="G3" s="8">
        <f>Inputs!$C16</f>
        <v>30</v>
      </c>
      <c r="H3" s="8">
        <f>Inputs!$C16</f>
        <v>30</v>
      </c>
      <c r="I3" s="8">
        <f>Inputs!$C16</f>
        <v>30</v>
      </c>
    </row>
    <row r="4">
      <c r="A4" s="1" t="s">
        <v>40</v>
      </c>
      <c r="B4" s="1" t="s">
        <v>41</v>
      </c>
      <c r="C4" s="1">
        <f>Inputs!C17</f>
        <v>60</v>
      </c>
      <c r="D4" s="1">
        <f>Inputs!C17</f>
        <v>60</v>
      </c>
      <c r="E4" s="8">
        <f>Inputs!C17</f>
        <v>60</v>
      </c>
      <c r="F4" s="8">
        <f>Inputs!$C17</f>
        <v>60</v>
      </c>
      <c r="G4" s="8">
        <f>Inputs!$C17</f>
        <v>60</v>
      </c>
      <c r="H4" s="8">
        <f>Inputs!$C17</f>
        <v>60</v>
      </c>
      <c r="I4" s="8">
        <f>Inputs!$C17</f>
        <v>60</v>
      </c>
    </row>
    <row r="5">
      <c r="A5" s="1" t="s">
        <v>10</v>
      </c>
      <c r="B5" s="1" t="s">
        <v>11</v>
      </c>
      <c r="C5" s="1">
        <f>Inputs!C4</f>
        <v>0</v>
      </c>
      <c r="D5" s="1">
        <f>Inputs!C4</f>
        <v>0</v>
      </c>
      <c r="E5" s="8">
        <f>Inputs!C4</f>
        <v>0</v>
      </c>
      <c r="F5" s="8">
        <f>Inputs!$C4</f>
        <v>0</v>
      </c>
      <c r="G5" s="8">
        <f>Inputs!$C4</f>
        <v>0</v>
      </c>
      <c r="H5" s="8">
        <f>Inputs!$C4</f>
        <v>0</v>
      </c>
      <c r="I5" s="8">
        <f>Inputs!$C4</f>
        <v>0</v>
      </c>
    </row>
    <row r="6">
      <c r="A6" s="1" t="s">
        <v>13</v>
      </c>
      <c r="B6" s="1" t="s">
        <v>127</v>
      </c>
      <c r="C6" s="1">
        <f>Inputs!C5</f>
        <v>25</v>
      </c>
      <c r="D6" s="1">
        <f>Inputs!C5</f>
        <v>25</v>
      </c>
      <c r="E6" s="8">
        <f>Inputs!C5</f>
        <v>25</v>
      </c>
      <c r="F6" s="8">
        <f>Inputs!$C5</f>
        <v>25</v>
      </c>
      <c r="G6" s="8">
        <f>Inputs!$C5</f>
        <v>25</v>
      </c>
      <c r="H6" s="8">
        <f>Inputs!$C5</f>
        <v>25</v>
      </c>
      <c r="I6" s="8">
        <f>Inputs!$C5</f>
        <v>25</v>
      </c>
    </row>
    <row r="7">
      <c r="A7" s="1" t="s">
        <v>18</v>
      </c>
      <c r="B7" s="1" t="s">
        <v>128</v>
      </c>
      <c r="C7" s="1">
        <f>Inputs!C7</f>
        <v>1</v>
      </c>
      <c r="D7" s="1">
        <f>Inputs!C7</f>
        <v>1</v>
      </c>
      <c r="E7" s="8">
        <f>Inputs!C7</f>
        <v>1</v>
      </c>
      <c r="F7" s="8">
        <f>Inputs!$C7</f>
        <v>1</v>
      </c>
      <c r="G7" s="8">
        <f>Inputs!$C7</f>
        <v>1</v>
      </c>
      <c r="H7" s="8">
        <f>Inputs!$C7</f>
        <v>1</v>
      </c>
      <c r="I7" s="8">
        <f>Inputs!$C7</f>
        <v>1</v>
      </c>
    </row>
    <row r="8">
      <c r="A8" s="1" t="s">
        <v>21</v>
      </c>
      <c r="B8" s="1" t="s">
        <v>22</v>
      </c>
      <c r="C8" s="1">
        <f>Inputs!C8</f>
        <v>10</v>
      </c>
      <c r="D8" s="1">
        <f>Inputs!C8</f>
        <v>10</v>
      </c>
      <c r="E8" s="8">
        <f>Inputs!C8</f>
        <v>10</v>
      </c>
      <c r="F8" s="8">
        <f>Inputs!$C8</f>
        <v>10</v>
      </c>
      <c r="G8" s="8">
        <f>Inputs!$C8</f>
        <v>10</v>
      </c>
      <c r="H8" s="8">
        <f>Inputs!$C8</f>
        <v>10</v>
      </c>
      <c r="I8" s="8">
        <f>Inputs!$C8</f>
        <v>10</v>
      </c>
    </row>
    <row r="9">
      <c r="A9" s="3" t="s">
        <v>25</v>
      </c>
      <c r="B9" s="3" t="s">
        <v>129</v>
      </c>
      <c r="C9" s="3">
        <f>Inputs!$C10</f>
        <v>1</v>
      </c>
      <c r="D9" s="3">
        <f>Inputs!$C10</f>
        <v>1</v>
      </c>
      <c r="E9" s="3">
        <f>Inputs!$C10</f>
        <v>1</v>
      </c>
      <c r="F9" s="3">
        <v>1.0</v>
      </c>
      <c r="G9" s="3">
        <v>1.0</v>
      </c>
      <c r="H9" s="3">
        <v>1.0</v>
      </c>
      <c r="I9" s="3">
        <f>Inputs!$C10</f>
        <v>1</v>
      </c>
    </row>
    <row r="10">
      <c r="A10" s="1" t="s">
        <v>23</v>
      </c>
      <c r="B10" s="1" t="s">
        <v>130</v>
      </c>
      <c r="C10" s="1">
        <f>Inputs!$C9</f>
        <v>1</v>
      </c>
      <c r="D10" s="1" t="s">
        <v>131</v>
      </c>
      <c r="E10" s="8" t="s">
        <v>131</v>
      </c>
      <c r="F10" s="8" t="s">
        <v>131</v>
      </c>
      <c r="G10" s="8" t="s">
        <v>131</v>
      </c>
      <c r="H10" s="8" t="s">
        <v>131</v>
      </c>
      <c r="I10" s="1">
        <f>Inputs!$C9</f>
        <v>1</v>
      </c>
    </row>
    <row r="11">
      <c r="A11" s="1" t="s">
        <v>132</v>
      </c>
      <c r="B11" s="1" t="s">
        <v>133</v>
      </c>
      <c r="C11" s="1">
        <f>Coefficients!C5</f>
        <v>14</v>
      </c>
      <c r="D11" s="1" t="s">
        <v>131</v>
      </c>
      <c r="E11" s="8" t="s">
        <v>131</v>
      </c>
      <c r="F11" s="8" t="s">
        <v>131</v>
      </c>
      <c r="G11" s="8" t="s">
        <v>131</v>
      </c>
      <c r="H11" s="8" t="s">
        <v>131</v>
      </c>
      <c r="I11" s="6">
        <v>39.0</v>
      </c>
    </row>
    <row r="12">
      <c r="A12" s="3" t="s">
        <v>31</v>
      </c>
      <c r="B12" s="3" t="s">
        <v>32</v>
      </c>
      <c r="C12" s="3">
        <f>Inputs!$C13</f>
        <v>2</v>
      </c>
      <c r="D12" s="3">
        <f>Inputs!$C13</f>
        <v>2</v>
      </c>
      <c r="E12" s="3">
        <f>Inputs!$C13</f>
        <v>2</v>
      </c>
      <c r="F12" s="3">
        <f>Inputs!$C13</f>
        <v>2</v>
      </c>
      <c r="G12" s="3">
        <f>Inputs!$C13</f>
        <v>2</v>
      </c>
      <c r="H12" s="3">
        <f>Inputs!$C13</f>
        <v>2</v>
      </c>
      <c r="I12" s="3">
        <f>Inputs!$C13</f>
        <v>2</v>
      </c>
    </row>
    <row r="13">
      <c r="A13" s="3" t="s">
        <v>34</v>
      </c>
      <c r="B13" s="3" t="s">
        <v>35</v>
      </c>
      <c r="C13" s="3">
        <f>Inputs!$C14</f>
        <v>14</v>
      </c>
      <c r="D13" s="3">
        <f>Inputs!$C14</f>
        <v>14</v>
      </c>
      <c r="E13" s="3">
        <f>Inputs!$C14</f>
        <v>14</v>
      </c>
      <c r="F13" s="3">
        <f>Inputs!$C14</f>
        <v>14</v>
      </c>
      <c r="G13" s="3">
        <f>Inputs!$C14</f>
        <v>14</v>
      </c>
      <c r="H13" s="3">
        <f>Inputs!$C14</f>
        <v>14</v>
      </c>
      <c r="I13" s="3">
        <f>Inputs!$C14</f>
        <v>14</v>
      </c>
    </row>
    <row r="14">
      <c r="A14" s="1"/>
      <c r="B14" s="1"/>
      <c r="C14" s="1"/>
      <c r="D14" s="1"/>
    </row>
    <row r="15">
      <c r="A15" s="2"/>
      <c r="B15" s="2"/>
    </row>
    <row r="16">
      <c r="A16" s="1" t="s">
        <v>134</v>
      </c>
      <c r="B16" s="1" t="s">
        <v>135</v>
      </c>
      <c r="C16" s="1">
        <f>C2*C3/100</f>
        <v>2400</v>
      </c>
      <c r="D16" s="1">
        <f>C2*C3/100</f>
        <v>2400</v>
      </c>
      <c r="E16" s="8">
        <f t="shared" ref="E16:I16" si="1">C2*C3/100</f>
        <v>2400</v>
      </c>
      <c r="F16" s="8">
        <f t="shared" si="1"/>
        <v>2400</v>
      </c>
      <c r="G16" s="8">
        <f t="shared" si="1"/>
        <v>2400</v>
      </c>
      <c r="H16" s="8">
        <f t="shared" si="1"/>
        <v>2400</v>
      </c>
      <c r="I16" s="8">
        <f t="shared" si="1"/>
        <v>2400</v>
      </c>
    </row>
    <row r="17">
      <c r="A17" s="1" t="s">
        <v>136</v>
      </c>
      <c r="B17" s="1" t="s">
        <v>137</v>
      </c>
      <c r="C17" s="1">
        <f t="shared" ref="C17:I17" si="2">C16/C4</f>
        <v>40</v>
      </c>
      <c r="D17" s="1">
        <f t="shared" si="2"/>
        <v>40</v>
      </c>
      <c r="E17" s="8">
        <f t="shared" si="2"/>
        <v>40</v>
      </c>
      <c r="F17" s="8">
        <f t="shared" si="2"/>
        <v>40</v>
      </c>
      <c r="G17" s="8">
        <f t="shared" si="2"/>
        <v>40</v>
      </c>
      <c r="H17" s="8">
        <f t="shared" si="2"/>
        <v>40</v>
      </c>
      <c r="I17" s="8">
        <f t="shared" si="2"/>
        <v>40</v>
      </c>
    </row>
    <row r="18">
      <c r="A18" s="1" t="s">
        <v>138</v>
      </c>
      <c r="B18" s="1" t="s">
        <v>139</v>
      </c>
      <c r="C18" s="1">
        <f>IF(C5&gt;0,MAX(C5,C17),C17)</f>
        <v>40</v>
      </c>
      <c r="D18" s="1">
        <f>IF(C5&gt;0,MAX(C5,C17),C17)</f>
        <v>40</v>
      </c>
      <c r="E18" s="8">
        <f t="shared" ref="E18:G18" si="3">IF(C5&gt;0,MAX(C5,C17),C17)</f>
        <v>40</v>
      </c>
      <c r="F18" s="8">
        <f t="shared" si="3"/>
        <v>40</v>
      </c>
      <c r="G18" s="8">
        <f t="shared" si="3"/>
        <v>40</v>
      </c>
      <c r="H18" s="8">
        <f t="shared" ref="H18:I18" si="4">IF(H5&gt;0,MAX(H5,H17),H17)</f>
        <v>40</v>
      </c>
      <c r="I18" s="8">
        <f t="shared" si="4"/>
        <v>40</v>
      </c>
    </row>
    <row r="19">
      <c r="A19" s="1" t="s">
        <v>140</v>
      </c>
      <c r="B19" s="1" t="s">
        <v>141</v>
      </c>
      <c r="C19" s="1">
        <f t="shared" ref="C19:I19" si="5">IF(C7=1,C18*(1+C8/100),C18)</f>
        <v>44</v>
      </c>
      <c r="D19" s="1">
        <f t="shared" si="5"/>
        <v>44</v>
      </c>
      <c r="E19" s="8">
        <f t="shared" si="5"/>
        <v>44</v>
      </c>
      <c r="F19" s="8">
        <f t="shared" si="5"/>
        <v>44</v>
      </c>
      <c r="G19" s="8">
        <f t="shared" si="5"/>
        <v>44</v>
      </c>
      <c r="H19" s="8">
        <f t="shared" si="5"/>
        <v>44</v>
      </c>
      <c r="I19" s="8">
        <f t="shared" si="5"/>
        <v>44</v>
      </c>
    </row>
    <row r="20">
      <c r="A20" s="1" t="s">
        <v>142</v>
      </c>
      <c r="B20" s="1" t="s">
        <v>143</v>
      </c>
      <c r="C20" s="1">
        <f t="shared" ref="C20:I20" si="6">C19*(1+C6/100)</f>
        <v>55</v>
      </c>
      <c r="D20" s="1">
        <f t="shared" si="6"/>
        <v>55</v>
      </c>
      <c r="E20" s="8">
        <f t="shared" si="6"/>
        <v>55</v>
      </c>
      <c r="F20" s="8">
        <f t="shared" si="6"/>
        <v>55</v>
      </c>
      <c r="G20" s="8">
        <f t="shared" si="6"/>
        <v>55</v>
      </c>
      <c r="H20" s="8">
        <f t="shared" si="6"/>
        <v>55</v>
      </c>
      <c r="I20" s="8">
        <f t="shared" si="6"/>
        <v>55</v>
      </c>
    </row>
    <row r="21">
      <c r="A21" s="3" t="s">
        <v>144</v>
      </c>
      <c r="B21" s="3" t="s">
        <v>145</v>
      </c>
      <c r="C21" s="1">
        <f>IF(C9=1,C20/Coefficients!$C33,C20)</f>
        <v>67.5</v>
      </c>
      <c r="D21" s="1">
        <f>IF(D9=1,D20/Coefficients!$C33,D20)</f>
        <v>67.5</v>
      </c>
      <c r="E21" s="1">
        <f>IF(E9=1,E20/Coefficients!$C33,E20)</f>
        <v>67.5</v>
      </c>
      <c r="F21" s="1">
        <f>IF(F9=1,F20/Coefficients!$C33,F20)</f>
        <v>67.5</v>
      </c>
      <c r="G21" s="1">
        <f>IF(G9=1,G20/Coefficients!$C33,G20)</f>
        <v>67.5</v>
      </c>
      <c r="H21" s="1">
        <f>IF(H9=1,H20/Coefficients!$C33,H20)</f>
        <v>67.5</v>
      </c>
      <c r="I21" s="1">
        <f>IF(I9=1,I20/Coefficients!$C33,I20)</f>
        <v>67.5</v>
      </c>
    </row>
    <row r="22">
      <c r="A22" s="1" t="s">
        <v>146</v>
      </c>
      <c r="B22" s="1" t="s">
        <v>147</v>
      </c>
      <c r="C22" s="1">
        <f t="shared" ref="C22:I22" si="7">IF(C10=1,C21*(1+C11/100),C21)</f>
        <v>76.95</v>
      </c>
      <c r="D22" s="1">
        <f t="shared" si="7"/>
        <v>67.5</v>
      </c>
      <c r="E22" s="1">
        <f t="shared" si="7"/>
        <v>67.5</v>
      </c>
      <c r="F22" s="1">
        <f t="shared" si="7"/>
        <v>67.5</v>
      </c>
      <c r="G22" s="1">
        <f t="shared" si="7"/>
        <v>67.5</v>
      </c>
      <c r="H22" s="1">
        <f t="shared" si="7"/>
        <v>67.5</v>
      </c>
      <c r="I22" s="1">
        <f t="shared" si="7"/>
        <v>93.825</v>
      </c>
    </row>
    <row r="23">
      <c r="A23" s="2"/>
      <c r="B23" s="2"/>
    </row>
    <row r="24">
      <c r="A24" s="2"/>
      <c r="B24" s="2"/>
    </row>
    <row r="25">
      <c r="A25" s="1" t="s">
        <v>148</v>
      </c>
      <c r="B25" s="1" t="s">
        <v>149</v>
      </c>
      <c r="C25" s="1">
        <f>ROUNDUP(C22/Coefficients!C2,0)</f>
        <v>4</v>
      </c>
      <c r="D25" s="1">
        <f>ROUNDUP(D22/Coefficients!C14,0)</f>
        <v>3</v>
      </c>
      <c r="E25" s="8">
        <f>ROUNDUP(E22/Coefficients!C17,0)</f>
        <v>6</v>
      </c>
      <c r="F25" s="8">
        <f>ROUNDUP(F22/Coefficients!C23,0)</f>
        <v>4</v>
      </c>
      <c r="G25" s="1">
        <f>ROUNDUP(G22/(Coefficients!$C14),0)</f>
        <v>3</v>
      </c>
      <c r="H25" s="1">
        <f>ROUNDUP(H22/(Coefficients!$C17),0)</f>
        <v>6</v>
      </c>
      <c r="I25" s="1">
        <f>ROUNDUP(I22/(Coefficients!$C20),0)</f>
        <v>13</v>
      </c>
    </row>
    <row r="26" ht="15.75" customHeight="1">
      <c r="A26" s="1" t="s">
        <v>150</v>
      </c>
      <c r="B26" s="1" t="s">
        <v>151</v>
      </c>
      <c r="C26" s="1">
        <f>3</f>
        <v>3</v>
      </c>
      <c r="D26" s="1">
        <v>3.0</v>
      </c>
      <c r="E26" s="8">
        <v>4.0</v>
      </c>
      <c r="F26" s="6">
        <v>3.0</v>
      </c>
      <c r="G26" s="1">
        <v>3.0</v>
      </c>
      <c r="H26" s="1">
        <v>3.0</v>
      </c>
      <c r="I26" s="6">
        <v>6.0</v>
      </c>
    </row>
    <row r="27" ht="15.75" customHeight="1">
      <c r="A27" s="1" t="s">
        <v>152</v>
      </c>
      <c r="B27" s="1" t="s">
        <v>153</v>
      </c>
      <c r="C27" s="1">
        <f>CEILING(MAX(C25,C26)/ Inputs!$C12, 1) * Inputs!$C12</f>
        <v>6</v>
      </c>
      <c r="D27" s="1">
        <f>CEILING(MAX(D25,D26)/ Inputs!$C12, 1) * Inputs!$C12</f>
        <v>3</v>
      </c>
      <c r="E27" s="1">
        <f>CEILING(MAX(E25,E26)/ Inputs!$C12, 1) * Inputs!$C12</f>
        <v>6</v>
      </c>
      <c r="F27" s="1">
        <f>CEILING(MAX(F25,F26)/ Inputs!$C12, 1) * Inputs!$C12</f>
        <v>6</v>
      </c>
      <c r="G27" s="1">
        <f>CEILING(MAX(G25,G26)/ Inputs!$C12, 1) * Inputs!$C12</f>
        <v>3</v>
      </c>
      <c r="H27" s="1">
        <f>CEILING(MAX(H25,H26)/ Inputs!$C12, 1) * Inputs!$C12</f>
        <v>6</v>
      </c>
      <c r="I27" s="1">
        <f>CEILING(MAX(I25,I26)/ Inputs!$C12, 1) * Inputs!$C12</f>
        <v>15</v>
      </c>
    </row>
    <row r="28" ht="15.75" customHeight="1">
      <c r="A28" s="1" t="s">
        <v>154</v>
      </c>
      <c r="B28" s="1" t="s">
        <v>155</v>
      </c>
      <c r="C28" s="1">
        <f t="shared" ref="C28:I28" si="8">C22/C27</f>
        <v>12.825</v>
      </c>
      <c r="D28" s="1">
        <f t="shared" si="8"/>
        <v>22.5</v>
      </c>
      <c r="E28" s="8">
        <f t="shared" si="8"/>
        <v>11.25</v>
      </c>
      <c r="F28" s="8">
        <f t="shared" si="8"/>
        <v>11.25</v>
      </c>
      <c r="G28" s="1">
        <f t="shared" si="8"/>
        <v>22.5</v>
      </c>
      <c r="H28" s="1">
        <f t="shared" si="8"/>
        <v>11.25</v>
      </c>
      <c r="I28" s="1">
        <f t="shared" si="8"/>
        <v>6.255</v>
      </c>
    </row>
    <row r="29" ht="15.75" customHeight="1">
      <c r="A29" s="2"/>
      <c r="B29" s="2"/>
    </row>
    <row r="30" ht="15.75" customHeight="1">
      <c r="A30" s="1" t="s">
        <v>156</v>
      </c>
      <c r="B30" s="1" t="s">
        <v>157</v>
      </c>
      <c r="C30" s="1">
        <f>C28*Coefficients!C3*Coefficients!C6</f>
        <v>1.4428125</v>
      </c>
      <c r="D30" s="1">
        <f>D28*Coefficients!C15*Coefficients!C6</f>
        <v>2.49496875</v>
      </c>
      <c r="E30" s="8">
        <f>E28*Coefficients!$C18*Coefficients!$C6</f>
        <v>2.953125</v>
      </c>
      <c r="F30" s="8">
        <f>F28*Coefficients!C24*Coefficients!C6</f>
        <v>1.96875</v>
      </c>
      <c r="G30" s="1">
        <f>G28*Coefficients!C27*Coefficients!C6</f>
        <v>3.09375</v>
      </c>
      <c r="H30" s="8">
        <f>H28*Coefficients!$C18*Coefficients!$C6</f>
        <v>2.953125</v>
      </c>
      <c r="I30" s="8">
        <f>I28*Coefficients!$C21*Coefficients!$C6*IF(I9=1,Coefficients!C29)</f>
        <v>2.211924375</v>
      </c>
    </row>
    <row r="31" ht="15.75" customHeight="1">
      <c r="A31" s="1" t="s">
        <v>158</v>
      </c>
      <c r="B31" s="1" t="s">
        <v>159</v>
      </c>
      <c r="C31" s="1">
        <f t="shared" ref="C31:I31" si="9">ROUNDUP(C30*1000,10)</f>
        <v>1442.8125</v>
      </c>
      <c r="D31" s="1">
        <f t="shared" si="9"/>
        <v>2494.96875</v>
      </c>
      <c r="E31" s="8">
        <f t="shared" si="9"/>
        <v>2953.125</v>
      </c>
      <c r="F31" s="8">
        <f t="shared" si="9"/>
        <v>1968.75</v>
      </c>
      <c r="G31" s="1">
        <f t="shared" si="9"/>
        <v>3093.75</v>
      </c>
      <c r="H31" s="8">
        <f t="shared" si="9"/>
        <v>2953.125</v>
      </c>
      <c r="I31" s="8">
        <f t="shared" si="9"/>
        <v>2211.924375</v>
      </c>
    </row>
    <row r="32" ht="15.75" customHeight="1">
      <c r="A32" s="1" t="s">
        <v>160</v>
      </c>
      <c r="B32" s="1" t="s">
        <v>161</v>
      </c>
      <c r="C32" s="1">
        <f>MAX(1024,CEILING(C28*Coefficients!C4*Coefficients!C6,64))</f>
        <v>1024</v>
      </c>
      <c r="D32" s="1">
        <f>MAX(1024,CEILING(D28*Coefficients!C16*Coefficients!C6,64))</f>
        <v>1024</v>
      </c>
      <c r="E32" s="8">
        <f>MAX(1024,CEILING(E28*Coefficients!$C19*Coefficients!$C6,64))</f>
        <v>1024</v>
      </c>
      <c r="F32" s="8">
        <f>MAX(1024,CEILING(F28*Coefficients!C25*Coefficients!C6,64))</f>
        <v>1024</v>
      </c>
      <c r="G32" s="1">
        <f>MAX(1024,CEILING(G28*Coefficients!C16*Coefficients!C6*Coefficients!C30,64))</f>
        <v>1152</v>
      </c>
      <c r="H32" s="8">
        <f>MAX(1024,CEILING(H28*Coefficients!$C19*Coefficients!$C6,64))</f>
        <v>1024</v>
      </c>
      <c r="I32" s="8">
        <f>MAX(1024,CEILING(I28*Coefficients!$C22*Coefficients!$C6*IF(I9=1,Coefficients!C30),64))</f>
        <v>1024</v>
      </c>
    </row>
    <row r="33" ht="15.75" customHeight="1">
      <c r="A33" s="1" t="s">
        <v>162</v>
      </c>
      <c r="B33" s="1" t="s">
        <v>163</v>
      </c>
      <c r="C33" s="1">
        <f t="shared" ref="C33:I33" si="10">ROUNDUP(C31*0.6,10)</f>
        <v>865.6875</v>
      </c>
      <c r="D33" s="1">
        <f t="shared" si="10"/>
        <v>1496.98125</v>
      </c>
      <c r="E33" s="8">
        <f t="shared" si="10"/>
        <v>1771.875</v>
      </c>
      <c r="F33" s="8">
        <f t="shared" si="10"/>
        <v>1181.25</v>
      </c>
      <c r="G33" s="1">
        <f t="shared" si="10"/>
        <v>1856.25</v>
      </c>
      <c r="H33" s="8">
        <f t="shared" si="10"/>
        <v>1771.875</v>
      </c>
      <c r="I33" s="8">
        <f t="shared" si="10"/>
        <v>1327.154625</v>
      </c>
    </row>
    <row r="34" ht="15.75" customHeight="1">
      <c r="A34" s="1" t="s">
        <v>164</v>
      </c>
      <c r="B34" s="1" t="s">
        <v>165</v>
      </c>
      <c r="C34" s="1">
        <f t="shared" ref="C34:I34" si="11">CEILING(C32*0.6,64)</f>
        <v>640</v>
      </c>
      <c r="D34" s="1">
        <f t="shared" si="11"/>
        <v>640</v>
      </c>
      <c r="E34" s="8">
        <f t="shared" si="11"/>
        <v>640</v>
      </c>
      <c r="F34" s="8">
        <f t="shared" si="11"/>
        <v>640</v>
      </c>
      <c r="G34" s="1">
        <f t="shared" si="11"/>
        <v>704</v>
      </c>
      <c r="H34" s="8">
        <f t="shared" si="11"/>
        <v>640</v>
      </c>
      <c r="I34" s="8">
        <f t="shared" si="11"/>
        <v>640</v>
      </c>
    </row>
    <row r="35" ht="15.75" customHeight="1">
      <c r="A35" s="2"/>
      <c r="B35" s="2"/>
    </row>
    <row r="36" ht="15.75" customHeight="1">
      <c r="A36" s="1" t="s">
        <v>166</v>
      </c>
      <c r="B36" s="1" t="s">
        <v>167</v>
      </c>
      <c r="C36" s="1">
        <f t="shared" ref="C36:I36" si="12">C27*C31</f>
        <v>8656.875</v>
      </c>
      <c r="D36" s="1">
        <f t="shared" si="12"/>
        <v>7484.90625</v>
      </c>
      <c r="E36" s="8">
        <f t="shared" si="12"/>
        <v>17718.75</v>
      </c>
      <c r="F36" s="8">
        <f t="shared" si="12"/>
        <v>11812.5</v>
      </c>
      <c r="G36" s="1">
        <f t="shared" si="12"/>
        <v>9281.25</v>
      </c>
      <c r="H36" s="8">
        <f t="shared" si="12"/>
        <v>17718.75</v>
      </c>
      <c r="I36" s="8">
        <f t="shared" si="12"/>
        <v>33178.86563</v>
      </c>
    </row>
    <row r="37" ht="15.75" customHeight="1">
      <c r="A37" s="1" t="s">
        <v>168</v>
      </c>
      <c r="B37" s="1" t="s">
        <v>169</v>
      </c>
      <c r="C37" s="1">
        <f t="shared" ref="C37:I37" si="13">C36/1000</f>
        <v>8.656875</v>
      </c>
      <c r="D37" s="1">
        <f t="shared" si="13"/>
        <v>7.48490625</v>
      </c>
      <c r="E37" s="8">
        <f t="shared" si="13"/>
        <v>17.71875</v>
      </c>
      <c r="F37" s="8">
        <f t="shared" si="13"/>
        <v>11.8125</v>
      </c>
      <c r="G37" s="1">
        <f t="shared" si="13"/>
        <v>9.28125</v>
      </c>
      <c r="H37" s="8">
        <f t="shared" si="13"/>
        <v>17.71875</v>
      </c>
      <c r="I37" s="8">
        <f t="shared" si="13"/>
        <v>33.17886563</v>
      </c>
    </row>
    <row r="38" ht="15.75" customHeight="1">
      <c r="A38" s="1" t="s">
        <v>170</v>
      </c>
      <c r="B38" s="1" t="s">
        <v>171</v>
      </c>
      <c r="C38" s="1">
        <f t="shared" ref="C38:I38" si="14">C27*C32</f>
        <v>6144</v>
      </c>
      <c r="D38" s="1">
        <f t="shared" si="14"/>
        <v>3072</v>
      </c>
      <c r="E38" s="8">
        <f t="shared" si="14"/>
        <v>6144</v>
      </c>
      <c r="F38" s="8">
        <f t="shared" si="14"/>
        <v>6144</v>
      </c>
      <c r="G38" s="1">
        <f t="shared" si="14"/>
        <v>3456</v>
      </c>
      <c r="H38" s="8">
        <f t="shared" si="14"/>
        <v>6144</v>
      </c>
      <c r="I38" s="8">
        <f t="shared" si="14"/>
        <v>15360</v>
      </c>
    </row>
    <row r="39" ht="15.75" customHeight="1">
      <c r="A39" s="1" t="s">
        <v>172</v>
      </c>
      <c r="B39" s="1" t="s">
        <v>173</v>
      </c>
      <c r="C39" s="1">
        <f t="shared" ref="C39:I39" si="15">C38/1024</f>
        <v>6</v>
      </c>
      <c r="D39" s="1">
        <f t="shared" si="15"/>
        <v>3</v>
      </c>
      <c r="E39" s="8">
        <f t="shared" si="15"/>
        <v>6</v>
      </c>
      <c r="F39" s="8">
        <f t="shared" si="15"/>
        <v>6</v>
      </c>
      <c r="G39" s="1">
        <f t="shared" si="15"/>
        <v>3.375</v>
      </c>
      <c r="H39" s="8">
        <f t="shared" si="15"/>
        <v>6</v>
      </c>
      <c r="I39" s="8">
        <f t="shared" si="15"/>
        <v>15</v>
      </c>
    </row>
    <row r="40" ht="15.75" customHeight="1">
      <c r="A40" s="1" t="s">
        <v>174</v>
      </c>
      <c r="B40" s="1" t="s">
        <v>175</v>
      </c>
      <c r="C40" s="1">
        <f>C37/Coefficients!C7</f>
        <v>12.36696429</v>
      </c>
      <c r="D40" s="1">
        <f>D37/Coefficients!C7</f>
        <v>10.69272321</v>
      </c>
      <c r="E40" s="8">
        <f>E37/Coefficients!$C7</f>
        <v>25.3125</v>
      </c>
      <c r="F40" s="8">
        <f>F37/Coefficients!C7</f>
        <v>16.875</v>
      </c>
      <c r="G40" s="1">
        <f>G37/Coefficients!C7</f>
        <v>13.25892857</v>
      </c>
      <c r="H40" s="8">
        <f>H37/Coefficients!$C7</f>
        <v>25.3125</v>
      </c>
      <c r="I40" s="8">
        <f>I37/Coefficients!$C7</f>
        <v>47.39837946</v>
      </c>
    </row>
    <row r="41" ht="15.75" customHeight="1">
      <c r="A41" s="1" t="s">
        <v>176</v>
      </c>
      <c r="B41" s="1" t="s">
        <v>177</v>
      </c>
      <c r="C41" s="1">
        <f>C39/Coefficients!C7</f>
        <v>8.571428571</v>
      </c>
      <c r="D41" s="1">
        <f>D39/Coefficients!C7</f>
        <v>4.285714286</v>
      </c>
      <c r="E41" s="8">
        <f>E39/Coefficients!$C7</f>
        <v>8.571428571</v>
      </c>
      <c r="F41" s="8">
        <f>F39/Coefficients!C7</f>
        <v>8.571428571</v>
      </c>
      <c r="G41" s="1">
        <f>G39/Coefficients!C7</f>
        <v>4.821428571</v>
      </c>
      <c r="H41" s="8">
        <f>H39/Coefficients!$C7</f>
        <v>8.571428571</v>
      </c>
      <c r="I41" s="8">
        <f>I39/Coefficients!$C7</f>
        <v>21.42857143</v>
      </c>
    </row>
    <row r="42" ht="15.75" customHeight="1">
      <c r="A42" s="2"/>
      <c r="B42" s="2"/>
    </row>
    <row r="43" ht="15.75" customHeight="1">
      <c r="A43" s="5" t="s">
        <v>178</v>
      </c>
      <c r="B43" s="5" t="s">
        <v>179</v>
      </c>
      <c r="C43" s="8">
        <f>(C27*C32/Inputs!$C12/1024+Coefficients!$C$13)*Coefficients!$C8</f>
        <v>19.32</v>
      </c>
      <c r="D43" s="8">
        <f>(D27*D32/Inputs!$C12/1024+Coefficients!$C$13)*Coefficients!$C8</f>
        <v>18.17</v>
      </c>
      <c r="E43" s="8">
        <f>(E27*E32/Inputs!$C12/1024+Coefficients!$C$13)*Coefficients!$C8</f>
        <v>19.32</v>
      </c>
      <c r="F43" s="8">
        <f>(F27*F32/Inputs!$C12/1024+Coefficients!$C$13)*Coefficients!$C8</f>
        <v>19.32</v>
      </c>
      <c r="G43" s="8">
        <f>(G27*G32/Inputs!$C12/1024+Coefficients!$C$13)*Coefficients!$C8</f>
        <v>18.31375</v>
      </c>
      <c r="H43" s="8">
        <f>(H27*H32/Inputs!$C12/1024+Coefficients!$C$13)*Coefficients!$C8</f>
        <v>19.32</v>
      </c>
      <c r="I43" s="8">
        <f>(I27*I32/Inputs!$C12/1024+Coefficients!$C$13)*Coefficients!$C8</f>
        <v>22.77</v>
      </c>
    </row>
    <row r="44" ht="15.75" customHeight="1">
      <c r="A44" s="2"/>
      <c r="B44" s="5" t="s">
        <v>180</v>
      </c>
      <c r="C44" s="8">
        <f>(Coefficients!C39+IF(C10=1,Coefficients!C34)+IF(C10=1,Coefficients!C41))*C12*C13*C2/1024/1024/1024</f>
        <v>7.713857293</v>
      </c>
      <c r="D44" s="8">
        <f>Coefficients!C35*D12*D13*D2/1024/1024/1024</f>
        <v>1.929283142</v>
      </c>
      <c r="E44" s="8">
        <f>Coefficients!C38*E12*E13*E2/1024/1024/1024</f>
        <v>9.363114834</v>
      </c>
      <c r="F44" s="8">
        <f>(Coefficients!$C$34+Coefficients!$C$35+Coefficients!$C$37)*F12*F13*F2/1024/1024/1024</f>
        <v>6.004601717</v>
      </c>
      <c r="G44" s="8">
        <f>(Coefficients!$C$34+Coefficients!$C$35)*G12*G13*G2/1024/1024/1024</f>
        <v>2.037554979</v>
      </c>
      <c r="H44" s="8">
        <f>(Coefficients!C34+Coefficients!C38)*H12*H13*H2/1024/1024/1024</f>
        <v>9.471386671</v>
      </c>
      <c r="I44" s="8">
        <f>(Coefficients!C40+IF(C10=1,Coefficients!C34)+IF(I10=1,Coefficients!C41))*I12*I13*I2/1024/1024/1024</f>
        <v>35.34111679</v>
      </c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  <row r="1001" ht="15.75" customHeight="1">
      <c r="A1001" s="2"/>
      <c r="B1001" s="2"/>
    </row>
    <row r="1002" ht="15.75" customHeight="1">
      <c r="A1002" s="2"/>
      <c r="B1002" s="2"/>
    </row>
    <row r="1003" ht="15.75" customHeight="1">
      <c r="A1003" s="2"/>
      <c r="B1003" s="2"/>
    </row>
    <row r="1004" ht="15.75" customHeight="1">
      <c r="A1004" s="2"/>
      <c r="B1004" s="2"/>
    </row>
    <row r="1005" ht="15.75" customHeight="1">
      <c r="A1005" s="2"/>
      <c r="B1005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181</v>
      </c>
      <c r="B1" s="12" t="s">
        <v>182</v>
      </c>
      <c r="C1" s="12" t="s">
        <v>183</v>
      </c>
    </row>
    <row r="2">
      <c r="A2" s="1" t="s">
        <v>184</v>
      </c>
      <c r="B2" s="1">
        <v>34.375</v>
      </c>
      <c r="C2" s="1">
        <v>2.0</v>
      </c>
    </row>
    <row r="3">
      <c r="A3" s="1" t="s">
        <v>185</v>
      </c>
      <c r="B3" s="1">
        <v>68.75</v>
      </c>
      <c r="C3" s="1">
        <v>3.0</v>
      </c>
    </row>
    <row r="4">
      <c r="A4" s="1" t="s">
        <v>186</v>
      </c>
      <c r="B4" s="1">
        <v>82.5</v>
      </c>
      <c r="C4" s="1">
        <v>4.0</v>
      </c>
    </row>
    <row r="5">
      <c r="A5" s="1" t="s">
        <v>187</v>
      </c>
      <c r="B5" s="1">
        <v>103.125</v>
      </c>
      <c r="C5" s="1">
        <v>4.0</v>
      </c>
    </row>
    <row r="6">
      <c r="A6" s="1" t="s">
        <v>188</v>
      </c>
      <c r="B6" s="1">
        <v>137.5</v>
      </c>
      <c r="C6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86"/>
    <col customWidth="1" min="2" max="2" width="44.71"/>
    <col customWidth="1" min="3" max="4" width="32.29"/>
    <col customWidth="1" min="5" max="6" width="30.57"/>
    <col customWidth="1" min="7" max="7" width="36.29"/>
  </cols>
  <sheetData>
    <row r="1" ht="15.75" customHeight="1">
      <c r="A1" s="13" t="s">
        <v>189</v>
      </c>
      <c r="B1" s="13" t="s">
        <v>190</v>
      </c>
      <c r="C1" s="13" t="str">
        <f>IF('Вычисления'!C2&lt;=5000,"EAP-TLS: A: до 5k устройств",IF('Вычисления'!C2&lt;=10000,"EAP-TLS: B: 5k–10k",IF('Вычисления'!C2&lt;=12000,"EAP-TLS: C: 10k–12k",IF('Вычисления'!C2&lt;=15000,"EAP-TLS: D: 12k–15k",IF('Вычисления'!C2&lt;=20000,"EAP-TLS: E: 15k–20k","EAP-TLS: Вне типовых профилей"))))) 
</f>
        <v>EAP-TLS: B: 5k–10k</v>
      </c>
      <c r="D1" s="13" t="str">
        <f>IF('Вычисления'!D2&lt;=5000,"MAB: A: до 5k устройств",IF('Вычисления'!D2&lt;=10000,"MAB: B: 5k–10k",IF('Вычисления'!D2&lt;=12000,"MAB: C: 10k–12k",IF('Вычисления'!D2&lt;=15000,"MAB: D: 12k–15k",IF('Вычисления'!D2&lt;=20000,"MAB: E: 15k–20k","MAB: Вне типовых профилей")))))  
</f>
        <v>MAB: B: 5k–10k</v>
      </c>
      <c r="E1" s="13" t="str">
        <f>IF('Вычисления'!C2&lt;=5000,"PEAP: A: до 5k устройств",IF('Вычисления'!C2&lt;=10000,"PEAP: B: 5k–10k",IF('Вычисления'!C2&lt;=12000,"PEAP: C: 10k–12k",IF('Вычисления'!C2&lt;=15000,"PEAP: D: 12k–15k",IF('Вычисления'!C2&lt;=20000,"PEAP: E: 15k–20k","PEAP: Вне типовых профилей")))))  
</f>
        <v>PEAP: B: 5k–10k</v>
      </c>
      <c r="F1" s="14" t="s">
        <v>191</v>
      </c>
      <c r="G1" s="13" t="s">
        <v>192</v>
      </c>
      <c r="H1" s="13" t="s">
        <v>193</v>
      </c>
      <c r="I1" s="15" t="s">
        <v>194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6" t="s">
        <v>195</v>
      </c>
      <c r="B2" s="16" t="s">
        <v>151</v>
      </c>
      <c r="C2" s="16">
        <f>'Вычисления'!C26</f>
        <v>3</v>
      </c>
      <c r="D2" s="16">
        <f>'Вычисления'!D26</f>
        <v>3</v>
      </c>
      <c r="E2" s="16">
        <f>'Вычисления'!E26</f>
        <v>4</v>
      </c>
      <c r="F2" s="16">
        <f>'Вычисления'!F26</f>
        <v>3</v>
      </c>
      <c r="G2" s="16">
        <f>'Вычисления'!G26</f>
        <v>3</v>
      </c>
      <c r="H2" s="16">
        <f>'Вычисления'!H26</f>
        <v>3</v>
      </c>
      <c r="I2" s="16">
        <f>'Вычисления'!I26</f>
        <v>6</v>
      </c>
      <c r="J2" s="2"/>
      <c r="K2" s="5" t="s">
        <v>196</v>
      </c>
      <c r="L2" s="5" t="s">
        <v>197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16" t="s">
        <v>198</v>
      </c>
      <c r="B3" s="16" t="s">
        <v>199</v>
      </c>
      <c r="C3" s="16">
        <f>CEILING('Вычисления'!C27 / C10, 1) * C10</f>
        <v>6</v>
      </c>
      <c r="D3" s="16">
        <f>CEILING('Вычисления'!D27 / D10, 1) * D10</f>
        <v>3</v>
      </c>
      <c r="E3" s="16">
        <f>CEILING('Вычисления'!E27 / E10, 1) * E10</f>
        <v>6</v>
      </c>
      <c r="F3" s="16">
        <f>CEILING('Вычисления'!F27 / F10, 1) * F10</f>
        <v>6</v>
      </c>
      <c r="G3" s="16">
        <f>CEILING('Вычисления'!G27 / G10, 1) * G10</f>
        <v>3</v>
      </c>
      <c r="H3" s="16">
        <f>CEILING('Вычисления'!H27 / H10, 1) * H10</f>
        <v>6</v>
      </c>
      <c r="I3" s="16">
        <f>CEILING('Вычисления'!I27 / I10, 1) * I10</f>
        <v>15</v>
      </c>
      <c r="J3" s="2"/>
      <c r="K3" s="5">
        <v>8.0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17" t="s">
        <v>200</v>
      </c>
      <c r="B4" s="17" t="s">
        <v>201</v>
      </c>
      <c r="C4" s="16">
        <f>C13*C3/C10+Coefficients!C11</f>
        <v>7.985625</v>
      </c>
      <c r="D4" s="16">
        <f>D13*D3/D10+Coefficients!C9</f>
        <v>6.49496875</v>
      </c>
      <c r="E4" s="16">
        <f>E13*E3/E10+Coefficients!C10</f>
        <v>9.90625</v>
      </c>
      <c r="F4" s="16">
        <f>F13*F3/F10+Coefficients!C10</f>
        <v>7.9375</v>
      </c>
      <c r="G4" s="16">
        <f>G13*G3/G10+Coefficients!$C10</f>
        <v>7.09375</v>
      </c>
      <c r="H4" s="16">
        <f>H13*H3/H10+Coefficients!$C10</f>
        <v>9.90625</v>
      </c>
      <c r="I4" s="16">
        <f>I13*I3/I10+Coefficients!$C12</f>
        <v>16.05962188</v>
      </c>
      <c r="J4" s="2"/>
      <c r="K4" s="5">
        <v>12.0</v>
      </c>
      <c r="L4" s="5">
        <v>24.0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6" t="s">
        <v>202</v>
      </c>
      <c r="B5" s="16" t="s">
        <v>203</v>
      </c>
      <c r="C5" s="16">
        <f t="shared" ref="C5:H5" si="1">IFERROR(
  XLOOKUP( C4, $K$2:$K$5, $K$2:$K$5, , 1),
  "--"
)</f>
        <v>8</v>
      </c>
      <c r="D5" s="16">
        <f t="shared" si="1"/>
        <v>8</v>
      </c>
      <c r="E5" s="16">
        <f t="shared" si="1"/>
        <v>12</v>
      </c>
      <c r="F5" s="16">
        <f t="shared" si="1"/>
        <v>8</v>
      </c>
      <c r="G5" s="16">
        <f t="shared" si="1"/>
        <v>8</v>
      </c>
      <c r="H5" s="16">
        <f t="shared" si="1"/>
        <v>12</v>
      </c>
      <c r="I5" s="16">
        <f t="array" ref="I5">IFERROR(
  XLOOKUP( I4, $K$2:$K$7, $K$2:$K$7, , 1),
  "--"
)</f>
        <v>24</v>
      </c>
      <c r="J5" s="2"/>
      <c r="K5" s="6">
        <v>16.0</v>
      </c>
      <c r="L5" s="5">
        <v>32.0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7" t="s">
        <v>204</v>
      </c>
      <c r="B6" s="17" t="s">
        <v>179</v>
      </c>
      <c r="C6" s="16">
        <f>(C15*C3/C10/1024+Coefficients!$C$13)*Coefficients!$C8</f>
        <v>19.32</v>
      </c>
      <c r="D6" s="16">
        <f>(D15*D3/D10/1024+Coefficients!$C$13)*Coefficients!$C8</f>
        <v>18.17</v>
      </c>
      <c r="E6" s="18">
        <f>(E15*E3/E10/1024+Coefficients!$C$13)*Coefficients!$C8</f>
        <v>19.32</v>
      </c>
      <c r="F6" s="18">
        <f>(F15*F3/F10/1024+Coefficients!$C$13)*Coefficients!$C8</f>
        <v>19.32</v>
      </c>
      <c r="G6" s="18">
        <f>(G15*G3/G10/1024+Coefficients!$C$13)*Coefficients!$C8</f>
        <v>18.31375</v>
      </c>
      <c r="H6" s="18">
        <f>(H15*H3/H10/1024+Coefficients!$C$13)*Coefficients!$C8</f>
        <v>19.32</v>
      </c>
      <c r="I6" s="18">
        <f>(I15*I3/I10/1024+Coefficients!$C$13)*Coefficients!$C8</f>
        <v>22.77</v>
      </c>
      <c r="J6" s="2"/>
      <c r="K6" s="5">
        <v>24.0</v>
      </c>
      <c r="L6" s="5">
        <v>48.0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3" t="s">
        <v>204</v>
      </c>
      <c r="B7" s="17" t="s">
        <v>205</v>
      </c>
      <c r="C7" s="16">
        <f>IF('Вычисления'!C2&lt;=5000,
     MAX(24, 'Вычисления'!C43),
 IF('Вычисления'!C2&lt;=10000,
     MAX(32, 'Вычисления'!C43),
 IF('Вычисления'!C2&lt;=15000,
     MAX(48, 'Вычисления'!C43),
 IF('Вычисления'!C2&lt;=20000,
     MAX(48, 'Вычисления'!C43),
 "--"))))</f>
        <v>32</v>
      </c>
      <c r="D7" s="16">
        <f>IF('Вычисления'!D2&lt;=5000,
     MAX(24, 'Вычисления'!D43),
 IF('Вычисления'!D2&lt;=10000,
     MAX(32, 'Вычисления'!D43),
 IF('Вычисления'!D2&lt;=20000,
     MAX(48, 'Вычисления'!D43),
 "--")))</f>
        <v>32</v>
      </c>
      <c r="E7" s="16">
        <f>IF('Вычисления'!E2&lt;=5000,
     MAX(24, 'Вычисления'!E43),
 IF('Вычисления'!E2&lt;=10000,
     MAX(32, 'Вычисления'!E43),
 IF('Вычисления'!E2&lt;=15000,
     MAX(48, 'Вычисления'!E43),
 IF('Вычисления'!E2&lt;=20000,
     MAX(64, 'Вычисления'!E43),
 "--"))))</f>
        <v>32</v>
      </c>
      <c r="F7" s="16">
        <f>IF('Вычисления'!F2&lt;=5000,
     MAX(24, 'Вычисления'!F43),
 IF('Вычисления'!F2&lt;=10000,
     MAX(32, 'Вычисления'!F43),
 IF('Вычисления'!F2&lt;=15000,
     MAX(48, 'Вычисления'!F43),
 IF('Вычисления'!F2&lt;=20000,
     MAX(64, 'Вычисления'!F43),
 "--"))))</f>
        <v>32</v>
      </c>
      <c r="G7" s="16">
        <f>IF('Вычисления'!G2&lt;=5000,
     MAX(24, 'Вычисления'!G43),
 IF('Вычисления'!G2&lt;=10000,
     MAX(32, 'Вычисления'!G43),
 IF('Вычисления'!G2&lt;=15000,
     MAX(48, 'Вычисления'!G43),
 IF('Вычисления'!G2&lt;=20000,
     MAX(64, 'Вычисления'!G43),
 "--"))))</f>
        <v>32</v>
      </c>
      <c r="H7" s="16">
        <f>IF('Вычисления'!H2&lt;=5000,
     MAX(24, 'Вычисления'!H43),
 IF('Вычисления'!H2&lt;=10000,
     MAX(32, 'Вычисления'!H43),
 IF('Вычисления'!H2&lt;=15000,
     MAX(48, 'Вычисления'!H43),
 IF('Вычисления'!H2&lt;=20000,
     MAX(64, 'Вычисления'!H43),
 "--"))))</f>
        <v>32</v>
      </c>
      <c r="I7" s="16">
        <f>IF('Вычисления'!I2&lt;=5000,
     MAX(24, 'Вычисления'!I43),
 IF('Вычисления'!I2&lt;=10000,
     MAX(32, 'Вычисления'!I43),
 IF('Вычисления'!I2&lt;=15000,
     MAX(48, 'Вычисления'!I43),
 IF('Вычисления'!I2&lt;=20000,
     MAX(64, 'Вычисления'!I43),
 "--"))))</f>
        <v>32</v>
      </c>
      <c r="J7" s="2"/>
      <c r="K7" s="5">
        <v>32.0</v>
      </c>
      <c r="L7" s="5">
        <v>64.0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" t="s">
        <v>206</v>
      </c>
      <c r="B8" s="16" t="s">
        <v>207</v>
      </c>
      <c r="C8" s="16">
        <v>120.0</v>
      </c>
      <c r="D8" s="16">
        <v>120.0</v>
      </c>
      <c r="E8" s="16">
        <v>120.0</v>
      </c>
      <c r="F8" s="16">
        <v>120.0</v>
      </c>
      <c r="G8" s="16">
        <v>120.0</v>
      </c>
      <c r="H8" s="16">
        <v>120.0</v>
      </c>
      <c r="I8" s="16">
        <v>120.0</v>
      </c>
      <c r="J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9" t="s">
        <v>208</v>
      </c>
      <c r="B9" s="20" t="s">
        <v>209</v>
      </c>
      <c r="C9" s="18">
        <f>'Вычисления'!C44</f>
        <v>7.713857293</v>
      </c>
      <c r="D9" s="18">
        <f>'Вычисления'!D44</f>
        <v>1.929283142</v>
      </c>
      <c r="E9" s="18">
        <f>'Вычисления'!E44</f>
        <v>9.363114834</v>
      </c>
      <c r="F9" s="18">
        <f>'Вычисления'!F44</f>
        <v>6.004601717</v>
      </c>
      <c r="G9" s="18">
        <f>'Вычисления'!G44</f>
        <v>2.037554979</v>
      </c>
      <c r="H9" s="18">
        <f>'Вычисления'!H44</f>
        <v>9.471386671</v>
      </c>
      <c r="I9" s="18">
        <f>'Вычисления'!I44</f>
        <v>35.34111679</v>
      </c>
      <c r="J9" s="21"/>
      <c r="K9" s="22"/>
      <c r="L9" s="22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5.75" customHeight="1">
      <c r="A10" s="1" t="s">
        <v>210</v>
      </c>
      <c r="B10" s="16" t="s">
        <v>211</v>
      </c>
      <c r="C10" s="16">
        <f>Inputs!C12</f>
        <v>3</v>
      </c>
      <c r="D10" s="16">
        <f>Inputs!C12</f>
        <v>3</v>
      </c>
      <c r="E10" s="16">
        <f>Inputs!C12</f>
        <v>3</v>
      </c>
      <c r="F10" s="16">
        <f>Inputs!$C12</f>
        <v>3</v>
      </c>
      <c r="G10" s="16">
        <f>Inputs!$C12</f>
        <v>3</v>
      </c>
      <c r="H10" s="16">
        <f>Inputs!$C12</f>
        <v>3</v>
      </c>
      <c r="I10" s="16">
        <f>Inputs!$C12</f>
        <v>3</v>
      </c>
      <c r="J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" t="s">
        <v>212</v>
      </c>
      <c r="B11" s="16" t="s">
        <v>213</v>
      </c>
      <c r="C11" s="16">
        <f t="shared" ref="C11:I11" si="2">C5*C10</f>
        <v>24</v>
      </c>
      <c r="D11" s="16">
        <f t="shared" si="2"/>
        <v>24</v>
      </c>
      <c r="E11" s="16">
        <f t="shared" si="2"/>
        <v>36</v>
      </c>
      <c r="F11" s="16">
        <f t="shared" si="2"/>
        <v>24</v>
      </c>
      <c r="G11" s="16">
        <f t="shared" si="2"/>
        <v>24</v>
      </c>
      <c r="H11" s="16">
        <f t="shared" si="2"/>
        <v>36</v>
      </c>
      <c r="I11" s="16">
        <f t="shared" si="2"/>
        <v>72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" t="s">
        <v>214</v>
      </c>
      <c r="B12" s="16" t="s">
        <v>215</v>
      </c>
      <c r="C12" s="16">
        <f t="shared" ref="C12:I12" si="3">C7*C10</f>
        <v>96</v>
      </c>
      <c r="D12" s="16">
        <f t="shared" si="3"/>
        <v>96</v>
      </c>
      <c r="E12" s="16">
        <f t="shared" si="3"/>
        <v>96</v>
      </c>
      <c r="F12" s="16">
        <f t="shared" si="3"/>
        <v>96</v>
      </c>
      <c r="G12" s="16">
        <f t="shared" si="3"/>
        <v>96</v>
      </c>
      <c r="H12" s="16">
        <f t="shared" si="3"/>
        <v>96</v>
      </c>
      <c r="I12" s="16">
        <f t="shared" si="3"/>
        <v>96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6" t="s">
        <v>216</v>
      </c>
      <c r="B13" s="16" t="s">
        <v>157</v>
      </c>
      <c r="C13" s="23">
        <f>'Вычисления'!C30</f>
        <v>1.4428125</v>
      </c>
      <c r="D13" s="23">
        <f>'Вычисления'!D30</f>
        <v>2.49496875</v>
      </c>
      <c r="E13" s="23">
        <f>'Вычисления'!E30</f>
        <v>2.953125</v>
      </c>
      <c r="F13" s="23">
        <f>'Вычисления'!F30</f>
        <v>1.96875</v>
      </c>
      <c r="G13" s="23">
        <f>'Вычисления'!G30</f>
        <v>3.09375</v>
      </c>
      <c r="H13" s="23">
        <f>'Вычисления'!H30</f>
        <v>2.953125</v>
      </c>
      <c r="I13" s="23">
        <f>'Вычисления'!I30</f>
        <v>2.211924375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6" t="s">
        <v>217</v>
      </c>
      <c r="B14" s="16" t="s">
        <v>159</v>
      </c>
      <c r="C14" s="24">
        <f t="shared" ref="C14:I14" si="4">ROUNDUP(C13*1000,10)</f>
        <v>1442.8125</v>
      </c>
      <c r="D14" s="24">
        <f t="shared" si="4"/>
        <v>2494.96875</v>
      </c>
      <c r="E14" s="24">
        <f t="shared" si="4"/>
        <v>2953.125</v>
      </c>
      <c r="F14" s="24">
        <f t="shared" si="4"/>
        <v>1968.75</v>
      </c>
      <c r="G14" s="24">
        <f t="shared" si="4"/>
        <v>3093.75</v>
      </c>
      <c r="H14" s="24">
        <f t="shared" si="4"/>
        <v>2953.125</v>
      </c>
      <c r="I14" s="24">
        <f t="shared" si="4"/>
        <v>2211.924375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6" t="s">
        <v>218</v>
      </c>
      <c r="B15" s="16" t="s">
        <v>161</v>
      </c>
      <c r="C15" s="25">
        <f>'Вычисления'!C32</f>
        <v>1024</v>
      </c>
      <c r="D15" s="25">
        <f>'Вычисления'!D32</f>
        <v>1024</v>
      </c>
      <c r="E15" s="25">
        <f>'Вычисления'!E32</f>
        <v>1024</v>
      </c>
      <c r="F15" s="25">
        <f>'Вычисления'!F32</f>
        <v>1024</v>
      </c>
      <c r="G15" s="25">
        <f>'Вычисления'!G32</f>
        <v>1152</v>
      </c>
      <c r="H15" s="25">
        <f>'Вычисления'!H32</f>
        <v>1024</v>
      </c>
      <c r="I15" s="25">
        <f>'Вычисления'!I32</f>
        <v>1024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6" t="s">
        <v>219</v>
      </c>
      <c r="B16" s="16" t="s">
        <v>163</v>
      </c>
      <c r="C16" s="26">
        <f t="shared" ref="C16:I16" si="5">ROUNDUP(C14*0.6,10)</f>
        <v>865.6875</v>
      </c>
      <c r="D16" s="26">
        <f t="shared" si="5"/>
        <v>1496.98125</v>
      </c>
      <c r="E16" s="26">
        <f t="shared" si="5"/>
        <v>1771.875</v>
      </c>
      <c r="F16" s="26">
        <f t="shared" si="5"/>
        <v>1181.25</v>
      </c>
      <c r="G16" s="26">
        <f t="shared" si="5"/>
        <v>1856.25</v>
      </c>
      <c r="H16" s="26">
        <f t="shared" si="5"/>
        <v>1771.875</v>
      </c>
      <c r="I16" s="26">
        <f t="shared" si="5"/>
        <v>1327.154625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6" t="s">
        <v>220</v>
      </c>
      <c r="B17" s="16" t="s">
        <v>165</v>
      </c>
      <c r="C17" s="25">
        <f t="shared" ref="C17:I17" si="6">CEILING(C15*0.6,64)</f>
        <v>640</v>
      </c>
      <c r="D17" s="25">
        <f t="shared" si="6"/>
        <v>640</v>
      </c>
      <c r="E17" s="25">
        <f t="shared" si="6"/>
        <v>640</v>
      </c>
      <c r="F17" s="25">
        <f t="shared" si="6"/>
        <v>640</v>
      </c>
      <c r="G17" s="25">
        <f t="shared" si="6"/>
        <v>704</v>
      </c>
      <c r="H17" s="25">
        <f t="shared" si="6"/>
        <v>640</v>
      </c>
      <c r="I17" s="25">
        <f t="shared" si="6"/>
        <v>640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conditionalFormatting sqref="A11:I12">
    <cfRule type="notContainsBlanks" dxfId="0" priority="1" stopIfTrue="1">
      <formula>LEN(TRIM(A11))&gt;0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27.43"/>
    <col customWidth="1" min="5" max="6" width="14.43"/>
  </cols>
  <sheetData>
    <row r="1" ht="22.5" customHeight="1">
      <c r="A1" s="27" t="s">
        <v>221</v>
      </c>
      <c r="B1" s="28" t="s">
        <v>222</v>
      </c>
      <c r="C1" s="28" t="s">
        <v>223</v>
      </c>
      <c r="D1" s="28" t="s">
        <v>224</v>
      </c>
      <c r="E1" s="28" t="s">
        <v>225</v>
      </c>
      <c r="F1" s="28" t="s">
        <v>226</v>
      </c>
      <c r="G1" s="28" t="s">
        <v>227</v>
      </c>
      <c r="H1" s="28" t="s">
        <v>228</v>
      </c>
      <c r="I1" s="29" t="s">
        <v>229</v>
      </c>
      <c r="J1" s="28" t="s">
        <v>230</v>
      </c>
      <c r="K1" s="28" t="s">
        <v>231</v>
      </c>
      <c r="L1" s="28" t="s">
        <v>232</v>
      </c>
      <c r="M1" s="28" t="s">
        <v>233</v>
      </c>
      <c r="N1" s="28" t="s">
        <v>234</v>
      </c>
      <c r="O1" s="28" t="s">
        <v>235</v>
      </c>
      <c r="P1" s="28" t="s">
        <v>236</v>
      </c>
      <c r="Q1" s="28" t="s">
        <v>237</v>
      </c>
      <c r="R1" s="28" t="s">
        <v>238</v>
      </c>
      <c r="S1" s="28" t="s">
        <v>239</v>
      </c>
      <c r="T1" s="28" t="s">
        <v>240</v>
      </c>
      <c r="U1" s="28" t="s">
        <v>241</v>
      </c>
      <c r="V1" s="28" t="s">
        <v>242</v>
      </c>
      <c r="W1" s="28" t="s">
        <v>243</v>
      </c>
      <c r="X1" s="28" t="s">
        <v>244</v>
      </c>
      <c r="Y1" s="28" t="s">
        <v>245</v>
      </c>
      <c r="Z1" s="29" t="s">
        <v>246</v>
      </c>
      <c r="AA1" s="28" t="s">
        <v>247</v>
      </c>
      <c r="AB1" s="29" t="s">
        <v>248</v>
      </c>
      <c r="AC1" s="28" t="s">
        <v>249</v>
      </c>
      <c r="AD1" s="28" t="s">
        <v>250</v>
      </c>
      <c r="AE1" s="28" t="s">
        <v>251</v>
      </c>
      <c r="AF1" s="28" t="s">
        <v>252</v>
      </c>
      <c r="AG1" s="28" t="s">
        <v>253</v>
      </c>
      <c r="AH1" s="28" t="s">
        <v>254</v>
      </c>
      <c r="AI1" s="28" t="s">
        <v>255</v>
      </c>
      <c r="AJ1" s="28" t="s">
        <v>256</v>
      </c>
      <c r="AK1" s="28" t="s">
        <v>257</v>
      </c>
      <c r="AL1" s="28" t="s">
        <v>258</v>
      </c>
      <c r="AM1" s="28" t="s">
        <v>259</v>
      </c>
      <c r="AN1" s="28" t="s">
        <v>260</v>
      </c>
      <c r="AO1" s="28" t="s">
        <v>261</v>
      </c>
      <c r="AP1" s="28" t="s">
        <v>262</v>
      </c>
      <c r="AQ1" s="28" t="s">
        <v>263</v>
      </c>
      <c r="AR1" s="28" t="s">
        <v>264</v>
      </c>
      <c r="AS1" s="30" t="s">
        <v>265</v>
      </c>
      <c r="AT1" s="28" t="s">
        <v>266</v>
      </c>
      <c r="AU1" s="28" t="s">
        <v>267</v>
      </c>
      <c r="AV1" s="28" t="s">
        <v>268</v>
      </c>
      <c r="AW1" s="28" t="s">
        <v>269</v>
      </c>
      <c r="AX1" s="28" t="s">
        <v>270</v>
      </c>
      <c r="AY1" s="28" t="s">
        <v>271</v>
      </c>
      <c r="AZ1" s="28" t="s">
        <v>272</v>
      </c>
      <c r="BA1" s="28" t="s">
        <v>273</v>
      </c>
      <c r="BB1" s="28" t="s">
        <v>274</v>
      </c>
      <c r="BC1" s="28" t="s">
        <v>275</v>
      </c>
      <c r="BD1" s="28" t="s">
        <v>276</v>
      </c>
      <c r="BE1" s="28" t="s">
        <v>277</v>
      </c>
      <c r="BF1" s="28" t="s">
        <v>278</v>
      </c>
      <c r="BG1" s="28" t="s">
        <v>279</v>
      </c>
      <c r="BH1" s="28" t="s">
        <v>280</v>
      </c>
      <c r="BI1" s="31" t="s">
        <v>281</v>
      </c>
    </row>
    <row r="2" ht="22.5" customHeight="1">
      <c r="A2" s="32" t="s">
        <v>282</v>
      </c>
      <c r="B2" s="33">
        <v>45961.0</v>
      </c>
      <c r="C2" s="34" t="s">
        <v>50</v>
      </c>
      <c r="D2" s="34" t="s">
        <v>283</v>
      </c>
      <c r="E2" s="35">
        <v>45961.72395833334</v>
      </c>
      <c r="F2" s="35">
        <v>45961.72881944444</v>
      </c>
      <c r="G2" s="36">
        <v>200.0</v>
      </c>
      <c r="H2" s="36">
        <v>200003.0</v>
      </c>
      <c r="I2" s="37">
        <v>0.965</v>
      </c>
      <c r="J2" s="37">
        <v>0.9</v>
      </c>
      <c r="K2" s="38">
        <v>0.886</v>
      </c>
      <c r="L2" s="36">
        <v>629.0</v>
      </c>
      <c r="M2" s="36">
        <v>0.0</v>
      </c>
      <c r="N2" s="36">
        <v>0.0</v>
      </c>
      <c r="O2" s="39"/>
      <c r="P2" s="39"/>
      <c r="Q2" s="39"/>
      <c r="R2" s="36">
        <v>2500.0</v>
      </c>
      <c r="S2" s="36">
        <v>150.0</v>
      </c>
      <c r="T2" s="36">
        <v>3000.0</v>
      </c>
      <c r="U2" s="36">
        <v>300.0</v>
      </c>
      <c r="V2" s="36">
        <v>3000.0</v>
      </c>
      <c r="W2" s="36">
        <v>30299.0</v>
      </c>
      <c r="X2" s="36">
        <v>0.0</v>
      </c>
      <c r="Y2" s="36">
        <v>22491.0</v>
      </c>
      <c r="Z2" s="37">
        <f t="shared" ref="Z2:Z17" si="2">Y2/(W2+X2)</f>
        <v>0.7423017261</v>
      </c>
      <c r="AA2" s="36">
        <v>7808.0</v>
      </c>
      <c r="AB2" s="37">
        <f t="shared" ref="AB2:AB139" si="3">AA2/W2</f>
        <v>0.2576982739</v>
      </c>
      <c r="AC2" s="36">
        <v>682.0</v>
      </c>
      <c r="AD2" s="37">
        <f t="shared" ref="AD2:AD139" si="4">AC2/W2</f>
        <v>0.0225089937</v>
      </c>
      <c r="AE2" s="36">
        <v>1271.0</v>
      </c>
      <c r="AF2" s="36">
        <v>3.53</v>
      </c>
      <c r="AG2" s="40">
        <v>4420.0</v>
      </c>
      <c r="AH2" s="40">
        <v>16970.0</v>
      </c>
      <c r="AI2" s="40">
        <v>20120.0</v>
      </c>
      <c r="AJ2" s="36">
        <v>4436.27</v>
      </c>
      <c r="AK2" s="36">
        <v>20896.91</v>
      </c>
      <c r="AL2" s="41">
        <v>6.0</v>
      </c>
      <c r="AM2" s="36">
        <v>285.0</v>
      </c>
      <c r="AN2" s="36">
        <v>47.5</v>
      </c>
      <c r="AO2" s="36">
        <v>2.446</v>
      </c>
      <c r="AP2" s="36">
        <f t="shared" ref="AP2:AP6" si="5">AO2*1000</f>
        <v>2446</v>
      </c>
      <c r="AQ2" s="36">
        <v>1004.0</v>
      </c>
      <c r="AR2" s="36">
        <v>51.9</v>
      </c>
      <c r="AS2" s="42">
        <v>29.65</v>
      </c>
      <c r="AT2" s="36">
        <f t="shared" ref="AT2:AT6" si="6">AP2*1.25</f>
        <v>3057.5</v>
      </c>
      <c r="AU2" s="36">
        <f t="shared" ref="AU2:AU4" si="7">1.25*AQ2</f>
        <v>1255</v>
      </c>
      <c r="AV2" s="36">
        <f t="shared" ref="AV2:AW2" si="1">AP2*0.65</f>
        <v>1589.9</v>
      </c>
      <c r="AW2" s="36">
        <f t="shared" si="1"/>
        <v>652.6</v>
      </c>
      <c r="AX2" s="34" t="s">
        <v>284</v>
      </c>
      <c r="AY2" s="43" t="s">
        <v>285</v>
      </c>
      <c r="AZ2" s="43" t="s">
        <v>286</v>
      </c>
      <c r="BA2" s="34" t="s">
        <v>287</v>
      </c>
      <c r="BB2" s="34" t="s">
        <v>288</v>
      </c>
      <c r="BC2" s="36">
        <v>10.0</v>
      </c>
      <c r="BD2" s="36">
        <v>11.0</v>
      </c>
      <c r="BE2" s="36">
        <v>10000.0</v>
      </c>
      <c r="BF2" s="36">
        <v>3.0</v>
      </c>
      <c r="BG2" s="41">
        <v>16.0</v>
      </c>
      <c r="BH2" s="41">
        <v>64.0</v>
      </c>
      <c r="BI2" s="44">
        <v>120.0</v>
      </c>
    </row>
    <row r="3" ht="22.5" customHeight="1">
      <c r="A3" s="45" t="s">
        <v>289</v>
      </c>
      <c r="B3" s="46">
        <v>45962.0</v>
      </c>
      <c r="C3" s="47" t="s">
        <v>50</v>
      </c>
      <c r="D3" s="47" t="s">
        <v>290</v>
      </c>
      <c r="E3" s="48"/>
      <c r="F3" s="48"/>
      <c r="G3" s="49">
        <v>65.0</v>
      </c>
      <c r="H3" s="48"/>
      <c r="I3" s="50"/>
      <c r="J3" s="48"/>
      <c r="K3" s="48"/>
      <c r="L3" s="48"/>
      <c r="M3" s="48"/>
      <c r="N3" s="48"/>
      <c r="O3" s="48"/>
      <c r="P3" s="48"/>
      <c r="Q3" s="48"/>
      <c r="R3" s="49">
        <v>2500.0</v>
      </c>
      <c r="S3" s="49">
        <v>150.0</v>
      </c>
      <c r="T3" s="49">
        <v>3000.0</v>
      </c>
      <c r="U3" s="49">
        <v>300.0</v>
      </c>
      <c r="V3" s="49">
        <v>1000.0</v>
      </c>
      <c r="W3" s="49">
        <v>9689.0</v>
      </c>
      <c r="X3" s="49">
        <v>0.0</v>
      </c>
      <c r="Y3" s="49">
        <v>9689.0</v>
      </c>
      <c r="Z3" s="51">
        <f t="shared" si="2"/>
        <v>1</v>
      </c>
      <c r="AA3" s="49">
        <v>0.0</v>
      </c>
      <c r="AB3" s="51">
        <f t="shared" si="3"/>
        <v>0</v>
      </c>
      <c r="AC3" s="49">
        <v>0.0</v>
      </c>
      <c r="AD3" s="51">
        <f t="shared" si="4"/>
        <v>0</v>
      </c>
      <c r="AE3" s="49">
        <v>0.0</v>
      </c>
      <c r="AF3" s="49">
        <v>0.0</v>
      </c>
      <c r="AG3" s="52">
        <v>135.0</v>
      </c>
      <c r="AH3" s="52">
        <v>167.0</v>
      </c>
      <c r="AI3" s="52">
        <v>3130.0</v>
      </c>
      <c r="AJ3" s="49">
        <v>137.3</v>
      </c>
      <c r="AK3" s="49">
        <v>3132.6</v>
      </c>
      <c r="AL3" s="53">
        <v>6.0</v>
      </c>
      <c r="AM3" s="49">
        <v>67.0</v>
      </c>
      <c r="AN3" s="49">
        <f>AM3/6</f>
        <v>11.16666667</v>
      </c>
      <c r="AO3" s="49">
        <v>1.89</v>
      </c>
      <c r="AP3" s="49">
        <f t="shared" si="5"/>
        <v>1890</v>
      </c>
      <c r="AQ3" s="49">
        <v>775.0</v>
      </c>
      <c r="AR3" s="49">
        <v>42.87</v>
      </c>
      <c r="AS3" s="54">
        <v>29.08</v>
      </c>
      <c r="AT3" s="49">
        <f t="shared" si="6"/>
        <v>2362.5</v>
      </c>
      <c r="AU3" s="49">
        <f t="shared" si="7"/>
        <v>968.75</v>
      </c>
      <c r="AV3" s="49">
        <f t="shared" ref="AV3:AW3" si="8">AP3*0.65</f>
        <v>1228.5</v>
      </c>
      <c r="AW3" s="49">
        <f t="shared" si="8"/>
        <v>503.75</v>
      </c>
      <c r="AX3" s="47" t="s">
        <v>291</v>
      </c>
      <c r="AY3" s="55" t="s">
        <v>292</v>
      </c>
      <c r="AZ3" s="55" t="s">
        <v>293</v>
      </c>
      <c r="BA3" s="47" t="s">
        <v>294</v>
      </c>
      <c r="BB3" s="47" t="s">
        <v>295</v>
      </c>
      <c r="BC3" s="49">
        <v>10.0</v>
      </c>
      <c r="BD3" s="49">
        <v>11.0</v>
      </c>
      <c r="BE3" s="49">
        <v>10000.0</v>
      </c>
      <c r="BF3" s="49">
        <v>3.0</v>
      </c>
      <c r="BG3" s="53">
        <v>16.0</v>
      </c>
      <c r="BH3" s="53">
        <v>64.0</v>
      </c>
      <c r="BI3" s="56">
        <v>120.0</v>
      </c>
    </row>
    <row r="4" ht="22.5" customHeight="1">
      <c r="A4" s="32" t="s">
        <v>296</v>
      </c>
      <c r="B4" s="33">
        <v>45962.0</v>
      </c>
      <c r="C4" s="34" t="s">
        <v>50</v>
      </c>
      <c r="D4" s="34" t="s">
        <v>297</v>
      </c>
      <c r="E4" s="39"/>
      <c r="F4" s="39"/>
      <c r="G4" s="36">
        <v>200.0</v>
      </c>
      <c r="H4" s="39"/>
      <c r="I4" s="57"/>
      <c r="J4" s="39"/>
      <c r="K4" s="39"/>
      <c r="L4" s="39"/>
      <c r="M4" s="39"/>
      <c r="N4" s="39"/>
      <c r="O4" s="39"/>
      <c r="P4" s="39"/>
      <c r="Q4" s="39"/>
      <c r="R4" s="36">
        <v>2500.0</v>
      </c>
      <c r="S4" s="36">
        <v>150.0</v>
      </c>
      <c r="T4" s="36">
        <v>3000.0</v>
      </c>
      <c r="U4" s="36">
        <v>300.0</v>
      </c>
      <c r="V4" s="36">
        <v>1200.0</v>
      </c>
      <c r="W4" s="36">
        <v>14845.0</v>
      </c>
      <c r="X4" s="36">
        <v>0.0</v>
      </c>
      <c r="Y4" s="36">
        <v>14777.0</v>
      </c>
      <c r="Z4" s="37">
        <f t="shared" si="2"/>
        <v>0.9954193331</v>
      </c>
      <c r="AA4" s="36">
        <v>68.0</v>
      </c>
      <c r="AB4" s="37">
        <f t="shared" si="3"/>
        <v>0.004580666891</v>
      </c>
      <c r="AC4" s="36">
        <v>68.0</v>
      </c>
      <c r="AD4" s="37">
        <f t="shared" si="4"/>
        <v>0.004580666891</v>
      </c>
      <c r="AE4" s="36">
        <v>0.0</v>
      </c>
      <c r="AF4" s="36">
        <v>0.0</v>
      </c>
      <c r="AG4" s="40">
        <v>7500.0</v>
      </c>
      <c r="AH4" s="40">
        <v>22200.0</v>
      </c>
      <c r="AI4" s="40">
        <v>61370.0</v>
      </c>
      <c r="AJ4" s="36">
        <v>20314.54</v>
      </c>
      <c r="AK4" s="36">
        <v>109258.21</v>
      </c>
      <c r="AL4" s="41">
        <v>6.0</v>
      </c>
      <c r="AM4" s="36">
        <v>75.0</v>
      </c>
      <c r="AN4" s="36">
        <f t="shared" ref="AN4:AN7" si="10">AM4/AL4</f>
        <v>12.5</v>
      </c>
      <c r="AO4" s="36">
        <v>2.168</v>
      </c>
      <c r="AP4" s="36">
        <f t="shared" si="5"/>
        <v>2168</v>
      </c>
      <c r="AQ4" s="36">
        <v>796.0</v>
      </c>
      <c r="AR4" s="36">
        <v>48.49</v>
      </c>
      <c r="AS4" s="42">
        <v>28.96</v>
      </c>
      <c r="AT4" s="36">
        <f t="shared" si="6"/>
        <v>2710</v>
      </c>
      <c r="AU4" s="36">
        <f t="shared" si="7"/>
        <v>995</v>
      </c>
      <c r="AV4" s="36">
        <f t="shared" ref="AV4:AW4" si="9">AP4*0.65</f>
        <v>1409.2</v>
      </c>
      <c r="AW4" s="36">
        <f t="shared" si="9"/>
        <v>517.4</v>
      </c>
      <c r="AX4" s="34" t="s">
        <v>298</v>
      </c>
      <c r="AY4" s="43" t="s">
        <v>299</v>
      </c>
      <c r="AZ4" s="43" t="s">
        <v>300</v>
      </c>
      <c r="BA4" s="34" t="s">
        <v>301</v>
      </c>
      <c r="BB4" s="34" t="s">
        <v>302</v>
      </c>
      <c r="BC4" s="36">
        <v>10.0</v>
      </c>
      <c r="BD4" s="36">
        <v>11.0</v>
      </c>
      <c r="BE4" s="36">
        <v>10000.0</v>
      </c>
      <c r="BF4" s="36">
        <v>3.0</v>
      </c>
      <c r="BG4" s="41">
        <v>16.0</v>
      </c>
      <c r="BH4" s="41">
        <v>64.0</v>
      </c>
      <c r="BI4" s="44">
        <v>120.0</v>
      </c>
    </row>
    <row r="5" ht="22.5" customHeight="1">
      <c r="A5" s="45" t="s">
        <v>303</v>
      </c>
      <c r="B5" s="58" t="s">
        <v>304</v>
      </c>
      <c r="C5" s="58" t="s">
        <v>50</v>
      </c>
      <c r="D5" s="58" t="s">
        <v>305</v>
      </c>
      <c r="E5" s="59"/>
      <c r="F5" s="59"/>
      <c r="G5" s="52">
        <v>250.0</v>
      </c>
      <c r="H5" s="59"/>
      <c r="I5" s="50"/>
      <c r="J5" s="59"/>
      <c r="K5" s="59"/>
      <c r="L5" s="59"/>
      <c r="M5" s="59"/>
      <c r="N5" s="59"/>
      <c r="O5" s="59"/>
      <c r="P5" s="59"/>
      <c r="Q5" s="59"/>
      <c r="R5" s="49">
        <v>2500.0</v>
      </c>
      <c r="S5" s="49">
        <v>150.0</v>
      </c>
      <c r="T5" s="49">
        <v>3000.0</v>
      </c>
      <c r="U5" s="49">
        <v>300.0</v>
      </c>
      <c r="V5" s="52">
        <v>1200.0</v>
      </c>
      <c r="W5" s="52">
        <v>222524.0</v>
      </c>
      <c r="X5" s="52">
        <v>0.0</v>
      </c>
      <c r="Y5" s="52">
        <v>221320.0</v>
      </c>
      <c r="Z5" s="51">
        <f t="shared" si="2"/>
        <v>0.9945893477</v>
      </c>
      <c r="AA5" s="52">
        <v>1204.0</v>
      </c>
      <c r="AB5" s="51">
        <f t="shared" si="3"/>
        <v>0.005410652334</v>
      </c>
      <c r="AC5" s="52">
        <v>3.0</v>
      </c>
      <c r="AD5" s="51">
        <f t="shared" si="4"/>
        <v>0.00001348169186</v>
      </c>
      <c r="AE5" s="52">
        <v>78.0</v>
      </c>
      <c r="AF5" s="51">
        <f t="shared" ref="AF5:AF15" si="13">AE5/W5</f>
        <v>0.0003505239884</v>
      </c>
      <c r="AG5" s="52">
        <v>1963.0</v>
      </c>
      <c r="AH5" s="52">
        <v>4469.0</v>
      </c>
      <c r="AI5" s="52">
        <v>62500.0</v>
      </c>
      <c r="AJ5" s="52">
        <v>7623.337</v>
      </c>
      <c r="AK5" s="49">
        <v>78423.128</v>
      </c>
      <c r="AL5" s="53">
        <v>6.0</v>
      </c>
      <c r="AM5" s="52">
        <v>367.0</v>
      </c>
      <c r="AN5" s="52">
        <f t="shared" si="10"/>
        <v>61.16666667</v>
      </c>
      <c r="AO5" s="52">
        <v>2.376</v>
      </c>
      <c r="AP5" s="52">
        <f t="shared" si="5"/>
        <v>2376</v>
      </c>
      <c r="AQ5" s="52">
        <v>1000.0</v>
      </c>
      <c r="AR5" s="52">
        <v>54.73</v>
      </c>
      <c r="AS5" s="54">
        <v>33.28</v>
      </c>
      <c r="AT5" s="52">
        <f t="shared" si="6"/>
        <v>2970</v>
      </c>
      <c r="AU5" s="52">
        <f t="shared" ref="AU5:AU6" si="14">AQ5*1.25</f>
        <v>1250</v>
      </c>
      <c r="AV5" s="52">
        <f t="shared" ref="AV5:AW5" si="11">AP5*0.65</f>
        <v>1544.4</v>
      </c>
      <c r="AW5" s="52">
        <f t="shared" si="11"/>
        <v>650</v>
      </c>
      <c r="AX5" s="58" t="s">
        <v>306</v>
      </c>
      <c r="AY5" s="60" t="s">
        <v>307</v>
      </c>
      <c r="AZ5" s="60" t="s">
        <v>308</v>
      </c>
      <c r="BA5" s="58" t="s">
        <v>309</v>
      </c>
      <c r="BB5" s="58" t="s">
        <v>310</v>
      </c>
      <c r="BC5" s="52">
        <v>10.0</v>
      </c>
      <c r="BD5" s="52">
        <v>11.0</v>
      </c>
      <c r="BE5" s="52">
        <v>10000.0</v>
      </c>
      <c r="BF5" s="52">
        <v>3.0</v>
      </c>
      <c r="BG5" s="52">
        <v>16.0</v>
      </c>
      <c r="BH5" s="52">
        <v>64.0</v>
      </c>
      <c r="BI5" s="61">
        <v>120.0</v>
      </c>
    </row>
    <row r="6" ht="22.5" customHeight="1">
      <c r="A6" s="32" t="s">
        <v>311</v>
      </c>
      <c r="B6" s="62" t="str">
        <f t="shared" ref="B6:D6" si="12">'test-script'!B5</f>
        <v>#REF!</v>
      </c>
      <c r="C6" s="62" t="str">
        <f t="shared" si="12"/>
        <v>#REF!</v>
      </c>
      <c r="D6" s="62" t="str">
        <f t="shared" si="12"/>
        <v>#REF!</v>
      </c>
      <c r="E6" s="35">
        <v>45967.49930555555</v>
      </c>
      <c r="F6" s="35">
        <v>45967.5041550926</v>
      </c>
      <c r="G6" s="40">
        <v>250.0</v>
      </c>
      <c r="H6" s="40">
        <v>170623.0</v>
      </c>
      <c r="I6" s="37">
        <v>0.0182</v>
      </c>
      <c r="J6" s="63">
        <v>9.42E-4</v>
      </c>
      <c r="K6" s="62" t="s">
        <v>312</v>
      </c>
      <c r="L6" s="40">
        <v>709.0</v>
      </c>
      <c r="M6" s="40">
        <v>0.0</v>
      </c>
      <c r="N6" s="40">
        <v>0.0</v>
      </c>
      <c r="O6" s="40">
        <v>125.0</v>
      </c>
      <c r="P6" s="40">
        <v>148.0</v>
      </c>
      <c r="Q6" s="40">
        <v>224.0</v>
      </c>
      <c r="R6" s="36">
        <v>2500.0</v>
      </c>
      <c r="S6" s="36">
        <v>150.0</v>
      </c>
      <c r="T6" s="36">
        <v>3000.0</v>
      </c>
      <c r="U6" s="36">
        <v>300.0</v>
      </c>
      <c r="V6" s="40">
        <v>1200.0</v>
      </c>
      <c r="W6" s="40">
        <v>22134.0</v>
      </c>
      <c r="X6" s="40">
        <v>0.0</v>
      </c>
      <c r="Y6" s="40">
        <v>21424.0</v>
      </c>
      <c r="Z6" s="37">
        <f t="shared" si="2"/>
        <v>0.9679226529</v>
      </c>
      <c r="AA6" s="40">
        <v>710.0</v>
      </c>
      <c r="AB6" s="37">
        <f t="shared" si="3"/>
        <v>0.03207734707</v>
      </c>
      <c r="AC6" s="40">
        <v>0.0</v>
      </c>
      <c r="AD6" s="37">
        <f t="shared" si="4"/>
        <v>0</v>
      </c>
      <c r="AE6" s="40">
        <v>0.0</v>
      </c>
      <c r="AF6" s="37">
        <f t="shared" si="13"/>
        <v>0</v>
      </c>
      <c r="AG6" s="40">
        <v>2616000.0</v>
      </c>
      <c r="AH6" s="40">
        <v>6020000.0</v>
      </c>
      <c r="AI6" s="40">
        <v>1.9496E7</v>
      </c>
      <c r="AJ6" s="40">
        <v>8468659.0</v>
      </c>
      <c r="AK6" s="36">
        <v>5.7014718E7</v>
      </c>
      <c r="AL6" s="41">
        <v>6.0</v>
      </c>
      <c r="AM6" s="40">
        <v>238.0</v>
      </c>
      <c r="AN6" s="40">
        <f t="shared" si="10"/>
        <v>39.66666667</v>
      </c>
      <c r="AO6" s="40">
        <v>1.8</v>
      </c>
      <c r="AP6" s="40">
        <f t="shared" si="5"/>
        <v>1800</v>
      </c>
      <c r="AQ6" s="40">
        <v>1117.0</v>
      </c>
      <c r="AR6" s="64"/>
      <c r="AS6" s="65"/>
      <c r="AT6" s="40">
        <f t="shared" si="6"/>
        <v>2250</v>
      </c>
      <c r="AU6" s="40">
        <f t="shared" si="14"/>
        <v>1396.25</v>
      </c>
      <c r="AV6" s="40">
        <f t="shared" ref="AV6:AW6" si="15">AP6*0.65</f>
        <v>1170</v>
      </c>
      <c r="AW6" s="40">
        <f t="shared" si="15"/>
        <v>726.05</v>
      </c>
      <c r="AX6" s="64"/>
      <c r="AY6" s="66" t="s">
        <v>313</v>
      </c>
      <c r="AZ6" s="64"/>
      <c r="BA6" s="64"/>
      <c r="BB6" s="62" t="s">
        <v>314</v>
      </c>
      <c r="BC6" s="40">
        <v>10.0</v>
      </c>
      <c r="BD6" s="40">
        <v>11.0</v>
      </c>
      <c r="BE6" s="40">
        <v>10000.0</v>
      </c>
      <c r="BF6" s="40">
        <v>3.0</v>
      </c>
      <c r="BG6" s="40">
        <v>8.0</v>
      </c>
      <c r="BH6" s="40">
        <v>24.0</v>
      </c>
      <c r="BI6" s="67">
        <v>120.0</v>
      </c>
    </row>
    <row r="7" ht="22.5" customHeight="1">
      <c r="A7" s="45" t="s">
        <v>315</v>
      </c>
      <c r="B7" s="68" t="s">
        <v>316</v>
      </c>
      <c r="C7" s="58" t="s">
        <v>50</v>
      </c>
      <c r="D7" s="58" t="s">
        <v>317</v>
      </c>
      <c r="E7" s="68" t="s">
        <v>318</v>
      </c>
      <c r="F7" s="68" t="s">
        <v>316</v>
      </c>
      <c r="G7" s="52">
        <v>400.0</v>
      </c>
      <c r="H7" s="52">
        <v>111667.9587</v>
      </c>
      <c r="I7" s="51">
        <v>0.188679</v>
      </c>
      <c r="J7" s="52">
        <v>2.9477</v>
      </c>
      <c r="K7" s="52">
        <v>2.2362</v>
      </c>
      <c r="L7" s="52">
        <v>51.8</v>
      </c>
      <c r="M7" s="52">
        <v>0.0</v>
      </c>
      <c r="N7" s="52">
        <v>0.0</v>
      </c>
      <c r="O7" s="52">
        <v>144.95</v>
      </c>
      <c r="P7" s="52">
        <v>148.4602</v>
      </c>
      <c r="Q7" s="52">
        <v>84.997</v>
      </c>
      <c r="R7" s="49">
        <v>2500.0</v>
      </c>
      <c r="S7" s="49">
        <v>150.0</v>
      </c>
      <c r="T7" s="49">
        <v>3000.0</v>
      </c>
      <c r="U7" s="49">
        <v>300.0</v>
      </c>
      <c r="V7" s="52">
        <v>1200.0</v>
      </c>
      <c r="W7" s="52">
        <v>14864.0</v>
      </c>
      <c r="X7" s="52">
        <v>0.0</v>
      </c>
      <c r="Y7" s="52">
        <v>14864.0</v>
      </c>
      <c r="Z7" s="51">
        <f t="shared" si="2"/>
        <v>1</v>
      </c>
      <c r="AA7" s="52">
        <v>0.0</v>
      </c>
      <c r="AB7" s="51">
        <f t="shared" si="3"/>
        <v>0</v>
      </c>
      <c r="AC7" s="52">
        <v>0.0</v>
      </c>
      <c r="AD7" s="51">
        <f t="shared" si="4"/>
        <v>0</v>
      </c>
      <c r="AE7" s="52">
        <v>0.0</v>
      </c>
      <c r="AF7" s="51">
        <f t="shared" si="13"/>
        <v>0</v>
      </c>
      <c r="AG7" s="52">
        <v>1791.515406350921</v>
      </c>
      <c r="AH7" s="52">
        <v>4162.849999999999</v>
      </c>
      <c r="AI7" s="52">
        <v>10238.0</v>
      </c>
      <c r="AJ7" s="52">
        <v>8664.471850805938</v>
      </c>
      <c r="AK7" s="49">
        <v>51557.797518</v>
      </c>
      <c r="AL7" s="53">
        <v>6.0</v>
      </c>
      <c r="AM7" s="52">
        <v>230.0</v>
      </c>
      <c r="AN7" s="52">
        <f t="shared" si="10"/>
        <v>38.33333333</v>
      </c>
      <c r="AO7" s="52">
        <v>2.1339</v>
      </c>
      <c r="AP7" s="52">
        <v>2149.3897</v>
      </c>
      <c r="AQ7" s="52">
        <v>1004.957</v>
      </c>
      <c r="AR7" s="52">
        <v>82.8875</v>
      </c>
      <c r="AS7" s="54">
        <v>84.5894</v>
      </c>
      <c r="AT7" s="52">
        <v>2687.0</v>
      </c>
      <c r="AU7" s="52">
        <v>1256.0</v>
      </c>
      <c r="AV7" s="52">
        <v>1397.0</v>
      </c>
      <c r="AW7" s="52">
        <v>653.0</v>
      </c>
      <c r="AX7" s="59"/>
      <c r="AY7" s="60" t="s">
        <v>319</v>
      </c>
      <c r="AZ7" s="59"/>
      <c r="BA7" s="58" t="s">
        <v>320</v>
      </c>
      <c r="BB7" s="58" t="s">
        <v>314</v>
      </c>
      <c r="BC7" s="52">
        <v>10.0</v>
      </c>
      <c r="BD7" s="52">
        <v>10.0</v>
      </c>
      <c r="BE7" s="52">
        <v>10000.0</v>
      </c>
      <c r="BF7" s="52">
        <v>3.0</v>
      </c>
      <c r="BG7" s="52">
        <v>8.0</v>
      </c>
      <c r="BH7" s="52">
        <v>24.0</v>
      </c>
      <c r="BI7" s="61">
        <v>120.0</v>
      </c>
    </row>
    <row r="8" ht="22.5" customHeight="1">
      <c r="A8" s="32" t="s">
        <v>321</v>
      </c>
      <c r="B8" s="69" t="s">
        <v>322</v>
      </c>
      <c r="C8" s="62" t="s">
        <v>50</v>
      </c>
      <c r="D8" s="62" t="s">
        <v>305</v>
      </c>
      <c r="E8" s="69" t="s">
        <v>323</v>
      </c>
      <c r="F8" s="69" t="s">
        <v>322</v>
      </c>
      <c r="G8" s="40">
        <v>250.0</v>
      </c>
      <c r="H8" s="40">
        <v>629807.7877</v>
      </c>
      <c r="I8" s="37">
        <v>0.128417</v>
      </c>
      <c r="J8" s="40">
        <v>3.5398</v>
      </c>
      <c r="K8" s="40">
        <v>4.2375</v>
      </c>
      <c r="L8" s="40">
        <v>389.0</v>
      </c>
      <c r="M8" s="40">
        <v>0.0</v>
      </c>
      <c r="N8" s="40">
        <v>0.0</v>
      </c>
      <c r="O8" s="40">
        <v>155.7862</v>
      </c>
      <c r="P8" s="40">
        <v>159.4236</v>
      </c>
      <c r="Q8" s="40">
        <v>73.237</v>
      </c>
      <c r="R8" s="36">
        <v>2500.0</v>
      </c>
      <c r="S8" s="36">
        <v>150.0</v>
      </c>
      <c r="T8" s="36">
        <v>3000.0</v>
      </c>
      <c r="U8" s="36">
        <v>300.0</v>
      </c>
      <c r="V8" s="40">
        <v>6000.0</v>
      </c>
      <c r="W8" s="40">
        <v>85991.0</v>
      </c>
      <c r="X8" s="40">
        <v>796.0</v>
      </c>
      <c r="Y8" s="40">
        <v>72926.0</v>
      </c>
      <c r="Z8" s="37">
        <f t="shared" si="2"/>
        <v>0.8402871398</v>
      </c>
      <c r="AA8" s="40">
        <v>13861.0</v>
      </c>
      <c r="AB8" s="37">
        <f t="shared" si="3"/>
        <v>0.1611912875</v>
      </c>
      <c r="AC8" s="40">
        <v>8.0</v>
      </c>
      <c r="AD8" s="37">
        <f t="shared" si="4"/>
        <v>0.00009303299182</v>
      </c>
      <c r="AE8" s="40">
        <v>0.0</v>
      </c>
      <c r="AF8" s="37">
        <f t="shared" si="13"/>
        <v>0</v>
      </c>
      <c r="AG8" s="40">
        <v>14399.67490522776</v>
      </c>
      <c r="AH8" s="40">
        <v>39549.49999999999</v>
      </c>
      <c r="AI8" s="40">
        <v>127115.0</v>
      </c>
      <c r="AJ8" s="40">
        <v>104439.763638919</v>
      </c>
      <c r="AK8" s="36">
        <v>289612.883383</v>
      </c>
      <c r="AL8" s="41">
        <v>6.0</v>
      </c>
      <c r="AM8" s="40">
        <v>1016.0</v>
      </c>
      <c r="AN8" s="40">
        <v>169.33</v>
      </c>
      <c r="AO8" s="40">
        <v>2.0429</v>
      </c>
      <c r="AP8" s="40">
        <v>2177.008</v>
      </c>
      <c r="AQ8" s="40">
        <v>1027.9023</v>
      </c>
      <c r="AR8" s="40">
        <v>75.6167</v>
      </c>
      <c r="AS8" s="42">
        <v>80.9244</v>
      </c>
      <c r="AT8" s="40">
        <v>2721.0</v>
      </c>
      <c r="AU8" s="40">
        <v>1285.0</v>
      </c>
      <c r="AV8" s="40">
        <v>1415.0</v>
      </c>
      <c r="AW8" s="40">
        <v>668.0</v>
      </c>
      <c r="AX8" s="64"/>
      <c r="AY8" s="66" t="s">
        <v>324</v>
      </c>
      <c r="AZ8" s="64"/>
      <c r="BA8" s="64"/>
      <c r="BB8" s="62" t="s">
        <v>325</v>
      </c>
      <c r="BC8" s="40">
        <v>10.0</v>
      </c>
      <c r="BD8" s="40">
        <v>10.0</v>
      </c>
      <c r="BE8" s="40">
        <v>10000.0</v>
      </c>
      <c r="BF8" s="40">
        <v>3.0</v>
      </c>
      <c r="BG8" s="40">
        <v>8.0</v>
      </c>
      <c r="BH8" s="40">
        <v>24.0</v>
      </c>
      <c r="BI8" s="67">
        <v>120.0</v>
      </c>
    </row>
    <row r="9" ht="22.5" customHeight="1">
      <c r="A9" s="45" t="s">
        <v>326</v>
      </c>
      <c r="B9" s="68" t="s">
        <v>327</v>
      </c>
      <c r="C9" s="58" t="s">
        <v>50</v>
      </c>
      <c r="D9" s="58" t="s">
        <v>328</v>
      </c>
      <c r="E9" s="68" t="s">
        <v>329</v>
      </c>
      <c r="F9" s="68" t="s">
        <v>327</v>
      </c>
      <c r="G9" s="52">
        <v>300.0</v>
      </c>
      <c r="H9" s="52">
        <v>105008.25</v>
      </c>
      <c r="I9" s="51">
        <v>0.013593</v>
      </c>
      <c r="J9" s="51">
        <v>0.1891</v>
      </c>
      <c r="K9" s="52">
        <v>1.26</v>
      </c>
      <c r="L9" s="52">
        <v>52.0</v>
      </c>
      <c r="M9" s="52">
        <v>0.0</v>
      </c>
      <c r="N9" s="52">
        <v>0.0</v>
      </c>
      <c r="O9" s="52">
        <v>65.94</v>
      </c>
      <c r="P9" s="52">
        <v>68.93</v>
      </c>
      <c r="Q9" s="52">
        <v>77.3067</v>
      </c>
      <c r="R9" s="49">
        <v>2500.0</v>
      </c>
      <c r="S9" s="49">
        <v>150.0</v>
      </c>
      <c r="T9" s="49">
        <v>3000.0</v>
      </c>
      <c r="U9" s="49">
        <v>300.0</v>
      </c>
      <c r="V9" s="52">
        <v>3000.0</v>
      </c>
      <c r="W9" s="52">
        <v>12861.0</v>
      </c>
      <c r="X9" s="52">
        <v>723.0</v>
      </c>
      <c r="Y9" s="52">
        <v>12876.0</v>
      </c>
      <c r="Z9" s="51">
        <f t="shared" si="2"/>
        <v>0.9478798587</v>
      </c>
      <c r="AA9" s="52">
        <v>1.0</v>
      </c>
      <c r="AB9" s="51">
        <f t="shared" si="3"/>
        <v>0.00007775445144</v>
      </c>
      <c r="AC9" s="52">
        <v>0.0</v>
      </c>
      <c r="AD9" s="51">
        <f t="shared" si="4"/>
        <v>0</v>
      </c>
      <c r="AE9" s="52">
        <v>0.0</v>
      </c>
      <c r="AF9" s="51">
        <f t="shared" si="13"/>
        <v>0</v>
      </c>
      <c r="AG9" s="52">
        <v>4596.029742952567</v>
      </c>
      <c r="AH9" s="52">
        <v>13141.19999999999</v>
      </c>
      <c r="AI9" s="52">
        <v>52985.0</v>
      </c>
      <c r="AJ9" s="52">
        <v>74535.46957093537</v>
      </c>
      <c r="AK9" s="49">
        <v>143907.59641</v>
      </c>
      <c r="AL9" s="53">
        <v>6.0</v>
      </c>
      <c r="AM9" s="52">
        <v>222.0</v>
      </c>
      <c r="AN9" s="52">
        <f>AM9/6</f>
        <v>37</v>
      </c>
      <c r="AO9" s="52">
        <v>1.4696</v>
      </c>
      <c r="AP9" s="52">
        <v>1392.9207</v>
      </c>
      <c r="AQ9" s="52">
        <v>864.7773</v>
      </c>
      <c r="AR9" s="52">
        <v>60.625</v>
      </c>
      <c r="AS9" s="54">
        <v>79.7271</v>
      </c>
      <c r="AT9" s="52">
        <v>1741.0</v>
      </c>
      <c r="AU9" s="52">
        <v>1081.0</v>
      </c>
      <c r="AV9" s="52">
        <v>905.0</v>
      </c>
      <c r="AW9" s="52">
        <v>562.0</v>
      </c>
      <c r="AX9" s="58" t="s">
        <v>330</v>
      </c>
      <c r="AY9" s="60" t="s">
        <v>331</v>
      </c>
      <c r="AZ9" s="59"/>
      <c r="BA9" s="58" t="s">
        <v>332</v>
      </c>
      <c r="BB9" s="58" t="s">
        <v>333</v>
      </c>
      <c r="BC9" s="52">
        <v>10.0</v>
      </c>
      <c r="BD9" s="52">
        <v>10.0</v>
      </c>
      <c r="BE9" s="52">
        <v>10000.0</v>
      </c>
      <c r="BF9" s="52">
        <v>3.0</v>
      </c>
      <c r="BG9" s="52">
        <v>8.0</v>
      </c>
      <c r="BH9" s="52">
        <v>24.0</v>
      </c>
      <c r="BI9" s="61">
        <v>120.0</v>
      </c>
    </row>
    <row r="10" ht="22.5" customHeight="1">
      <c r="A10" s="32" t="s">
        <v>334</v>
      </c>
      <c r="B10" s="69" t="s">
        <v>335</v>
      </c>
      <c r="C10" s="62" t="s">
        <v>50</v>
      </c>
      <c r="D10" s="62" t="s">
        <v>336</v>
      </c>
      <c r="E10" s="69" t="s">
        <v>337</v>
      </c>
      <c r="F10" s="69" t="s">
        <v>335</v>
      </c>
      <c r="G10" s="40">
        <v>400.0</v>
      </c>
      <c r="H10" s="40">
        <v>79739.1761</v>
      </c>
      <c r="I10" s="37">
        <v>0.02525</v>
      </c>
      <c r="J10" s="37">
        <v>0.212</v>
      </c>
      <c r="K10" s="40">
        <v>1.635</v>
      </c>
      <c r="L10" s="40">
        <v>110.0</v>
      </c>
      <c r="M10" s="40">
        <v>0.0</v>
      </c>
      <c r="N10" s="40">
        <v>0.0</v>
      </c>
      <c r="O10" s="40">
        <v>64.23</v>
      </c>
      <c r="P10" s="40">
        <v>68.595</v>
      </c>
      <c r="Q10" s="40">
        <v>39.712</v>
      </c>
      <c r="R10" s="36">
        <v>2500.0</v>
      </c>
      <c r="S10" s="36">
        <v>150.0</v>
      </c>
      <c r="T10" s="36">
        <v>3000.0</v>
      </c>
      <c r="U10" s="36">
        <v>300.0</v>
      </c>
      <c r="V10" s="40">
        <v>4126.0</v>
      </c>
      <c r="W10" s="40">
        <v>9283.0</v>
      </c>
      <c r="X10" s="40">
        <v>1985.0</v>
      </c>
      <c r="Y10" s="40">
        <v>9166.0</v>
      </c>
      <c r="Z10" s="37">
        <f t="shared" si="2"/>
        <v>0.8134540291</v>
      </c>
      <c r="AA10" s="40">
        <v>154.0</v>
      </c>
      <c r="AB10" s="37">
        <f t="shared" si="3"/>
        <v>0.01658946461</v>
      </c>
      <c r="AC10" s="40">
        <v>0.0</v>
      </c>
      <c r="AD10" s="37">
        <f t="shared" si="4"/>
        <v>0</v>
      </c>
      <c r="AE10" s="40">
        <v>0.0</v>
      </c>
      <c r="AF10" s="37">
        <f t="shared" si="13"/>
        <v>0</v>
      </c>
      <c r="AG10" s="40">
        <v>6595.334763948513</v>
      </c>
      <c r="AH10" s="40">
        <v>17407.1</v>
      </c>
      <c r="AI10" s="40">
        <v>32907.0</v>
      </c>
      <c r="AJ10" s="40">
        <v>77876.2622436503</v>
      </c>
      <c r="AK10" s="36">
        <v>125163.510541</v>
      </c>
      <c r="AL10" s="41">
        <v>6.0</v>
      </c>
      <c r="AM10" s="40">
        <v>211.0</v>
      </c>
      <c r="AN10" s="40">
        <f>AM10/AL10</f>
        <v>35.16666667</v>
      </c>
      <c r="AO10" s="40">
        <v>1.2688</v>
      </c>
      <c r="AP10" s="40">
        <v>1509.2145</v>
      </c>
      <c r="AQ10" s="40">
        <v>874.25</v>
      </c>
      <c r="AR10" s="40">
        <v>60.2958</v>
      </c>
      <c r="AS10" s="42">
        <v>80.0966</v>
      </c>
      <c r="AT10" s="40">
        <v>1887.0</v>
      </c>
      <c r="AU10" s="40">
        <v>1093.0</v>
      </c>
      <c r="AV10" s="40">
        <v>981.0</v>
      </c>
      <c r="AW10" s="40">
        <v>568.0</v>
      </c>
      <c r="AX10" s="64"/>
      <c r="AY10" s="66" t="s">
        <v>338</v>
      </c>
      <c r="AZ10" s="64"/>
      <c r="BA10" s="64"/>
      <c r="BB10" s="62" t="s">
        <v>339</v>
      </c>
      <c r="BC10" s="40">
        <v>10.0</v>
      </c>
      <c r="BD10" s="40">
        <v>10.0</v>
      </c>
      <c r="BE10" s="40">
        <v>10000.0</v>
      </c>
      <c r="BF10" s="40">
        <v>3.0</v>
      </c>
      <c r="BG10" s="40">
        <v>8.0</v>
      </c>
      <c r="BH10" s="40">
        <v>24.0</v>
      </c>
      <c r="BI10" s="67">
        <v>120.0</v>
      </c>
    </row>
    <row r="11" ht="22.5" customHeight="1">
      <c r="A11" s="45" t="s">
        <v>340</v>
      </c>
      <c r="B11" s="68" t="s">
        <v>341</v>
      </c>
      <c r="C11" s="58" t="s">
        <v>50</v>
      </c>
      <c r="D11" s="58" t="s">
        <v>342</v>
      </c>
      <c r="E11" s="68" t="s">
        <v>343</v>
      </c>
      <c r="F11" s="68" t="s">
        <v>344</v>
      </c>
      <c r="G11" s="52">
        <v>250.0</v>
      </c>
      <c r="H11" s="52">
        <v>31930.7368</v>
      </c>
      <c r="I11" s="51">
        <v>0.1846</v>
      </c>
      <c r="J11" s="51">
        <v>0.0154</v>
      </c>
      <c r="K11" s="52">
        <v>0.8313</v>
      </c>
      <c r="L11" s="52">
        <v>25.8</v>
      </c>
      <c r="M11" s="52">
        <v>0.0</v>
      </c>
      <c r="N11" s="52">
        <v>0.0</v>
      </c>
      <c r="O11" s="52">
        <v>28.69</v>
      </c>
      <c r="P11" s="52">
        <v>30.13</v>
      </c>
      <c r="Q11" s="52">
        <v>223.6068</v>
      </c>
      <c r="R11" s="49">
        <v>2500.0</v>
      </c>
      <c r="S11" s="49">
        <v>150.0</v>
      </c>
      <c r="T11" s="49">
        <v>3000.0</v>
      </c>
      <c r="U11" s="49">
        <v>300.0</v>
      </c>
      <c r="V11" s="52">
        <v>1200.0</v>
      </c>
      <c r="W11" s="52">
        <v>3874.0</v>
      </c>
      <c r="X11" s="52">
        <v>643.0</v>
      </c>
      <c r="Y11" s="52">
        <v>3878.0</v>
      </c>
      <c r="Z11" s="51">
        <f t="shared" si="2"/>
        <v>0.8585344255</v>
      </c>
      <c r="AA11" s="52">
        <v>0.0</v>
      </c>
      <c r="AB11" s="51">
        <f t="shared" si="3"/>
        <v>0</v>
      </c>
      <c r="AC11" s="52">
        <v>0.0</v>
      </c>
      <c r="AD11" s="51">
        <f t="shared" si="4"/>
        <v>0</v>
      </c>
      <c r="AE11" s="52">
        <v>0.0</v>
      </c>
      <c r="AF11" s="51">
        <f t="shared" si="13"/>
        <v>0</v>
      </c>
      <c r="AG11" s="52">
        <v>1575.528107271788</v>
      </c>
      <c r="AH11" s="52">
        <v>3806.899999999998</v>
      </c>
      <c r="AI11" s="52">
        <v>6622.0</v>
      </c>
      <c r="AJ11" s="52">
        <v>64129.68368484949</v>
      </c>
      <c r="AK11" s="49">
        <v>73590.283766</v>
      </c>
      <c r="AL11" s="53">
        <v>6.0</v>
      </c>
      <c r="AM11" s="52">
        <v>85.0</v>
      </c>
      <c r="AN11" s="52">
        <v>14.17</v>
      </c>
      <c r="AO11" s="52">
        <v>1.026</v>
      </c>
      <c r="AP11" s="52">
        <v>1026.0248</v>
      </c>
      <c r="AQ11" s="52">
        <v>764.5117</v>
      </c>
      <c r="AR11" s="52">
        <v>44.0</v>
      </c>
      <c r="AS11" s="54">
        <v>76.7</v>
      </c>
      <c r="AT11" s="52">
        <v>1283.0</v>
      </c>
      <c r="AU11" s="52">
        <v>956.0</v>
      </c>
      <c r="AV11" s="52">
        <v>667.0</v>
      </c>
      <c r="AW11" s="52">
        <v>497.0</v>
      </c>
      <c r="AX11" s="59"/>
      <c r="AY11" s="60" t="s">
        <v>345</v>
      </c>
      <c r="AZ11" s="59"/>
      <c r="BA11" s="59"/>
      <c r="BB11" s="58" t="s">
        <v>339</v>
      </c>
      <c r="BC11" s="52">
        <v>10.0</v>
      </c>
      <c r="BD11" s="52">
        <v>10.0</v>
      </c>
      <c r="BE11" s="52">
        <v>10000.0</v>
      </c>
      <c r="BF11" s="52">
        <v>3.0</v>
      </c>
      <c r="BG11" s="52">
        <v>8.0</v>
      </c>
      <c r="BH11" s="52">
        <v>16.0</v>
      </c>
      <c r="BI11" s="61">
        <v>120.0</v>
      </c>
    </row>
    <row r="12" ht="22.5" customHeight="1">
      <c r="A12" s="32" t="s">
        <v>346</v>
      </c>
      <c r="B12" s="69" t="s">
        <v>347</v>
      </c>
      <c r="C12" s="62" t="s">
        <v>50</v>
      </c>
      <c r="D12" s="62" t="s">
        <v>336</v>
      </c>
      <c r="E12" s="69" t="s">
        <v>348</v>
      </c>
      <c r="F12" s="69" t="s">
        <v>347</v>
      </c>
      <c r="G12" s="40">
        <v>400.0</v>
      </c>
      <c r="H12" s="40">
        <v>79717.046</v>
      </c>
      <c r="I12" s="37">
        <v>0.01975</v>
      </c>
      <c r="J12" s="37">
        <v>0.1788</v>
      </c>
      <c r="K12" s="40">
        <v>1.3162</v>
      </c>
      <c r="L12" s="40">
        <v>362.0</v>
      </c>
      <c r="M12" s="40">
        <v>0.0</v>
      </c>
      <c r="N12" s="40">
        <v>0.0</v>
      </c>
      <c r="O12" s="40">
        <v>67.08</v>
      </c>
      <c r="P12" s="40">
        <v>67.6563</v>
      </c>
      <c r="Q12" s="40">
        <v>43.1875</v>
      </c>
      <c r="R12" s="36">
        <v>2500.0</v>
      </c>
      <c r="S12" s="36">
        <v>150.0</v>
      </c>
      <c r="T12" s="36">
        <v>3000.0</v>
      </c>
      <c r="U12" s="36">
        <v>300.0</v>
      </c>
      <c r="V12" s="40">
        <v>4269.0</v>
      </c>
      <c r="W12" s="40">
        <v>9177.0</v>
      </c>
      <c r="X12" s="40">
        <v>2366.0</v>
      </c>
      <c r="Y12" s="40">
        <v>9332.0</v>
      </c>
      <c r="Z12" s="37">
        <f t="shared" si="2"/>
        <v>0.8084553409</v>
      </c>
      <c r="AA12" s="40">
        <v>32.0</v>
      </c>
      <c r="AB12" s="37">
        <f t="shared" si="3"/>
        <v>0.003486978315</v>
      </c>
      <c r="AC12" s="40">
        <v>0.0</v>
      </c>
      <c r="AD12" s="37">
        <f t="shared" si="4"/>
        <v>0</v>
      </c>
      <c r="AE12" s="40">
        <v>0.0</v>
      </c>
      <c r="AF12" s="37">
        <f t="shared" si="13"/>
        <v>0</v>
      </c>
      <c r="AG12" s="40">
        <v>6480.857554725011</v>
      </c>
      <c r="AH12" s="40">
        <v>19541.0</v>
      </c>
      <c r="AI12" s="40">
        <v>48575.0</v>
      </c>
      <c r="AJ12" s="40">
        <v>78840.18408890303</v>
      </c>
      <c r="AK12" s="36">
        <v>149215.565516</v>
      </c>
      <c r="AL12" s="41">
        <v>6.0</v>
      </c>
      <c r="AM12" s="40">
        <v>263.0</v>
      </c>
      <c r="AN12" s="40">
        <f>AM12/AL12</f>
        <v>43.83333333</v>
      </c>
      <c r="AO12" s="40">
        <v>1.4149</v>
      </c>
      <c r="AP12" s="40">
        <v>1414.9191</v>
      </c>
      <c r="AQ12" s="40">
        <v>770.4375</v>
      </c>
      <c r="AR12" s="40">
        <v>66.6675</v>
      </c>
      <c r="AS12" s="42">
        <v>75.3967</v>
      </c>
      <c r="AT12" s="40">
        <v>1769.0</v>
      </c>
      <c r="AU12" s="40">
        <v>963.0</v>
      </c>
      <c r="AV12" s="40">
        <v>920.0</v>
      </c>
      <c r="AW12" s="40">
        <v>501.0</v>
      </c>
      <c r="AX12" s="64"/>
      <c r="AY12" s="66" t="s">
        <v>349</v>
      </c>
      <c r="AZ12" s="64"/>
      <c r="BA12" s="64"/>
      <c r="BB12" s="62" t="s">
        <v>339</v>
      </c>
      <c r="BC12" s="40">
        <v>10.0</v>
      </c>
      <c r="BD12" s="40">
        <v>10.0</v>
      </c>
      <c r="BE12" s="40">
        <v>10000.0</v>
      </c>
      <c r="BF12" s="40">
        <v>3.0</v>
      </c>
      <c r="BG12" s="40">
        <v>8.0</v>
      </c>
      <c r="BH12" s="40">
        <v>16.0</v>
      </c>
      <c r="BI12" s="67">
        <v>120.0</v>
      </c>
    </row>
    <row r="13" ht="22.5" customHeight="1">
      <c r="A13" s="45" t="s">
        <v>350</v>
      </c>
      <c r="B13" s="68" t="s">
        <v>351</v>
      </c>
      <c r="C13" s="58" t="s">
        <v>50</v>
      </c>
      <c r="D13" s="58" t="s">
        <v>317</v>
      </c>
      <c r="E13" s="68" t="s">
        <v>352</v>
      </c>
      <c r="F13" s="68" t="s">
        <v>351</v>
      </c>
      <c r="G13" s="52">
        <v>400.0</v>
      </c>
      <c r="H13" s="52">
        <v>30301.4778</v>
      </c>
      <c r="I13" s="51">
        <v>0.567</v>
      </c>
      <c r="J13" s="51">
        <v>0.0542</v>
      </c>
      <c r="K13" s="52">
        <v>0.7188</v>
      </c>
      <c r="L13" s="52">
        <v>0.0</v>
      </c>
      <c r="M13" s="52">
        <v>0.0</v>
      </c>
      <c r="N13" s="52">
        <v>0.0</v>
      </c>
      <c r="O13" s="52">
        <v>49.5085</v>
      </c>
      <c r="P13" s="52">
        <v>51.38</v>
      </c>
      <c r="Q13" s="52">
        <v>40.9702</v>
      </c>
      <c r="R13" s="49">
        <v>2500.0</v>
      </c>
      <c r="S13" s="49">
        <v>150.0</v>
      </c>
      <c r="T13" s="49">
        <v>3000.0</v>
      </c>
      <c r="U13" s="49">
        <v>300.0</v>
      </c>
      <c r="V13" s="52">
        <v>2708.0</v>
      </c>
      <c r="W13" s="52">
        <v>3497.0</v>
      </c>
      <c r="X13" s="52">
        <v>1413.0</v>
      </c>
      <c r="Y13" s="52">
        <v>3518.0</v>
      </c>
      <c r="Z13" s="51">
        <f t="shared" si="2"/>
        <v>0.716496945</v>
      </c>
      <c r="AA13" s="52">
        <v>0.0</v>
      </c>
      <c r="AB13" s="51">
        <f t="shared" si="3"/>
        <v>0</v>
      </c>
      <c r="AC13" s="52">
        <v>0.0</v>
      </c>
      <c r="AD13" s="51">
        <f t="shared" si="4"/>
        <v>0</v>
      </c>
      <c r="AE13" s="52">
        <v>0.0</v>
      </c>
      <c r="AF13" s="51">
        <f t="shared" si="13"/>
        <v>0</v>
      </c>
      <c r="AG13" s="52">
        <v>3757.471574758382</v>
      </c>
      <c r="AH13" s="52">
        <v>9612.049999999985</v>
      </c>
      <c r="AI13" s="52">
        <v>41836.0</v>
      </c>
      <c r="AJ13" s="52">
        <v>70725.99255009607</v>
      </c>
      <c r="AK13" s="49">
        <v>110285.404826</v>
      </c>
      <c r="AL13" s="53">
        <v>6.0</v>
      </c>
      <c r="AM13" s="52">
        <v>125.0</v>
      </c>
      <c r="AN13" s="52">
        <v>20.83</v>
      </c>
      <c r="AO13" s="52">
        <v>1.1962</v>
      </c>
      <c r="AP13" s="52">
        <v>1103.3033</v>
      </c>
      <c r="AQ13" s="52">
        <v>766.6406</v>
      </c>
      <c r="AR13" s="52">
        <v>50.8</v>
      </c>
      <c r="AS13" s="54">
        <v>78.3</v>
      </c>
      <c r="AT13" s="52">
        <v>1379.0</v>
      </c>
      <c r="AU13" s="52">
        <v>958.0</v>
      </c>
      <c r="AV13" s="52">
        <v>717.0</v>
      </c>
      <c r="AW13" s="52">
        <v>498.0</v>
      </c>
      <c r="AX13" s="59"/>
      <c r="AY13" s="60" t="s">
        <v>353</v>
      </c>
      <c r="AZ13" s="59"/>
      <c r="BA13" s="59"/>
      <c r="BB13" s="58" t="s">
        <v>354</v>
      </c>
      <c r="BC13" s="52">
        <v>10.0</v>
      </c>
      <c r="BD13" s="52">
        <v>10.0</v>
      </c>
      <c r="BE13" s="52">
        <v>10000.0</v>
      </c>
      <c r="BF13" s="52">
        <v>3.0</v>
      </c>
      <c r="BG13" s="52">
        <v>8.0</v>
      </c>
      <c r="BH13" s="52">
        <v>16.0</v>
      </c>
      <c r="BI13" s="61">
        <v>120.0</v>
      </c>
    </row>
    <row r="14" ht="22.5" customHeight="1">
      <c r="A14" s="32" t="s">
        <v>355</v>
      </c>
      <c r="B14" s="69" t="s">
        <v>356</v>
      </c>
      <c r="C14" s="62" t="s">
        <v>50</v>
      </c>
      <c r="D14" s="62" t="s">
        <v>357</v>
      </c>
      <c r="E14" s="69" t="s">
        <v>358</v>
      </c>
      <c r="F14" s="69" t="s">
        <v>356</v>
      </c>
      <c r="G14" s="40">
        <v>250.0</v>
      </c>
      <c r="H14" s="40">
        <v>436624.4028</v>
      </c>
      <c r="I14" s="37">
        <v>0.051953</v>
      </c>
      <c r="J14" s="37">
        <v>0.8333</v>
      </c>
      <c r="K14" s="40">
        <v>3.46</v>
      </c>
      <c r="L14" s="40">
        <v>297.6484</v>
      </c>
      <c r="M14" s="40">
        <v>0.0</v>
      </c>
      <c r="N14" s="40">
        <v>0.0</v>
      </c>
      <c r="O14" s="40">
        <v>84.85</v>
      </c>
      <c r="P14" s="40">
        <v>88.525</v>
      </c>
      <c r="Q14" s="40">
        <v>223.6068</v>
      </c>
      <c r="R14" s="36">
        <v>2500.0</v>
      </c>
      <c r="S14" s="36">
        <v>150.0</v>
      </c>
      <c r="T14" s="36">
        <v>3000.0</v>
      </c>
      <c r="U14" s="36">
        <v>300.0</v>
      </c>
      <c r="V14" s="40">
        <v>6000.0</v>
      </c>
      <c r="W14" s="40">
        <v>55339.0</v>
      </c>
      <c r="X14" s="40">
        <v>3672.0</v>
      </c>
      <c r="Y14" s="40">
        <v>51679.0</v>
      </c>
      <c r="Z14" s="37">
        <f t="shared" si="2"/>
        <v>0.8757519784</v>
      </c>
      <c r="AA14" s="40">
        <v>5078.0</v>
      </c>
      <c r="AB14" s="37">
        <f t="shared" si="3"/>
        <v>0.09176168706</v>
      </c>
      <c r="AC14" s="40">
        <v>3.0</v>
      </c>
      <c r="AD14" s="37">
        <f t="shared" si="4"/>
        <v>0.00005421131571</v>
      </c>
      <c r="AE14" s="40">
        <v>0.0</v>
      </c>
      <c r="AF14" s="37">
        <f t="shared" si="13"/>
        <v>0</v>
      </c>
      <c r="AG14" s="40">
        <v>13982.98719100725</v>
      </c>
      <c r="AH14" s="40">
        <v>39284.59999999999</v>
      </c>
      <c r="AI14" s="40">
        <v>93976.0</v>
      </c>
      <c r="AJ14" s="40">
        <v>103457.9315227717</v>
      </c>
      <c r="AK14" s="36">
        <v>287817.946151</v>
      </c>
      <c r="AL14" s="41">
        <v>6.0</v>
      </c>
      <c r="AM14" s="40">
        <v>432.0</v>
      </c>
      <c r="AN14" s="40">
        <v>72.0</v>
      </c>
      <c r="AO14" s="40">
        <v>1.6167</v>
      </c>
      <c r="AP14" s="40">
        <v>1616.7239</v>
      </c>
      <c r="AQ14" s="40">
        <v>924.7656</v>
      </c>
      <c r="AR14" s="40">
        <v>62.2</v>
      </c>
      <c r="AS14" s="42">
        <v>83.0</v>
      </c>
      <c r="AT14" s="40">
        <v>2021.0</v>
      </c>
      <c r="AU14" s="40">
        <v>1156.0</v>
      </c>
      <c r="AV14" s="40">
        <v>1051.0</v>
      </c>
      <c r="AW14" s="40">
        <v>601.0</v>
      </c>
      <c r="AX14" s="64"/>
      <c r="AY14" s="66" t="s">
        <v>359</v>
      </c>
      <c r="AZ14" s="64"/>
      <c r="BA14" s="64"/>
      <c r="BB14" s="62" t="s">
        <v>360</v>
      </c>
      <c r="BC14" s="40">
        <v>10.0</v>
      </c>
      <c r="BD14" s="40">
        <v>10.0</v>
      </c>
      <c r="BE14" s="40">
        <v>10000.0</v>
      </c>
      <c r="BF14" s="40">
        <v>3.0</v>
      </c>
      <c r="BG14" s="40">
        <v>8.0</v>
      </c>
      <c r="BH14" s="40">
        <v>16.0</v>
      </c>
      <c r="BI14" s="67">
        <v>120.0</v>
      </c>
    </row>
    <row r="15" ht="22.5" customHeight="1">
      <c r="A15" s="45" t="s">
        <v>361</v>
      </c>
      <c r="B15" s="68" t="s">
        <v>362</v>
      </c>
      <c r="C15" s="58" t="s">
        <v>50</v>
      </c>
      <c r="D15" s="58" t="s">
        <v>357</v>
      </c>
      <c r="E15" s="68" t="s">
        <v>363</v>
      </c>
      <c r="F15" s="68" t="s">
        <v>362</v>
      </c>
      <c r="G15" s="52">
        <v>250.0</v>
      </c>
      <c r="H15" s="52">
        <v>404741.1039</v>
      </c>
      <c r="I15" s="51">
        <v>0.032237</v>
      </c>
      <c r="J15" s="51">
        <v>0.7693</v>
      </c>
      <c r="K15" s="52">
        <v>2.5825</v>
      </c>
      <c r="L15" s="52">
        <v>346.3242</v>
      </c>
      <c r="M15" s="52">
        <v>0.0</v>
      </c>
      <c r="N15" s="52">
        <v>0.0</v>
      </c>
      <c r="O15" s="52">
        <v>73.84</v>
      </c>
      <c r="P15" s="52">
        <v>82.6679</v>
      </c>
      <c r="Q15" s="52">
        <v>59.0432</v>
      </c>
      <c r="R15" s="49">
        <v>2500.0</v>
      </c>
      <c r="S15" s="49">
        <v>150.0</v>
      </c>
      <c r="T15" s="49">
        <v>3000.0</v>
      </c>
      <c r="U15" s="49">
        <v>300.0</v>
      </c>
      <c r="V15" s="52">
        <v>6000.0</v>
      </c>
      <c r="W15" s="52">
        <v>53302.0</v>
      </c>
      <c r="X15" s="52">
        <v>2047.0</v>
      </c>
      <c r="Y15" s="52">
        <v>48441.0</v>
      </c>
      <c r="Z15" s="51">
        <f t="shared" si="2"/>
        <v>0.8751919637</v>
      </c>
      <c r="AA15" s="52">
        <v>5707.0</v>
      </c>
      <c r="AB15" s="51">
        <f t="shared" si="3"/>
        <v>0.1070691531</v>
      </c>
      <c r="AC15" s="52">
        <v>2419.0</v>
      </c>
      <c r="AD15" s="51">
        <f t="shared" si="4"/>
        <v>0.04538291246</v>
      </c>
      <c r="AE15" s="52">
        <v>0.0</v>
      </c>
      <c r="AF15" s="51">
        <f t="shared" si="13"/>
        <v>0</v>
      </c>
      <c r="AG15" s="52">
        <v>17218.33238531436</v>
      </c>
      <c r="AH15" s="52">
        <v>65304.64999999989</v>
      </c>
      <c r="AI15" s="52">
        <v>118926.0</v>
      </c>
      <c r="AJ15" s="52">
        <v>106873.2402256104</v>
      </c>
      <c r="AK15" s="49">
        <v>288756.33122</v>
      </c>
      <c r="AL15" s="53">
        <v>6.0</v>
      </c>
      <c r="AM15" s="52">
        <v>1050.0</v>
      </c>
      <c r="AN15" s="52">
        <v>175.0</v>
      </c>
      <c r="AO15" s="52">
        <v>1.6844</v>
      </c>
      <c r="AP15" s="52">
        <v>1701.7943</v>
      </c>
      <c r="AQ15" s="52">
        <v>941.9688</v>
      </c>
      <c r="AR15" s="52">
        <v>57.8</v>
      </c>
      <c r="AS15" s="54">
        <v>68.1</v>
      </c>
      <c r="AT15" s="52">
        <v>2127.0</v>
      </c>
      <c r="AU15" s="52">
        <v>1177.0</v>
      </c>
      <c r="AV15" s="52">
        <v>1106.0</v>
      </c>
      <c r="AW15" s="52">
        <v>612.0</v>
      </c>
      <c r="AX15" s="59"/>
      <c r="AY15" s="60" t="s">
        <v>364</v>
      </c>
      <c r="AZ15" s="59"/>
      <c r="BA15" s="59"/>
      <c r="BB15" s="58" t="s">
        <v>360</v>
      </c>
      <c r="BC15" s="52">
        <v>10.0</v>
      </c>
      <c r="BD15" s="52">
        <v>10.0</v>
      </c>
      <c r="BE15" s="52">
        <v>10000.0</v>
      </c>
      <c r="BF15" s="52">
        <v>3.0</v>
      </c>
      <c r="BG15" s="52">
        <v>8.0</v>
      </c>
      <c r="BH15" s="52">
        <v>20.0</v>
      </c>
      <c r="BI15" s="61">
        <v>120.0</v>
      </c>
    </row>
    <row r="16" ht="22.5" customHeight="1">
      <c r="A16" s="32" t="s">
        <v>365</v>
      </c>
      <c r="B16" s="69" t="s">
        <v>366</v>
      </c>
      <c r="C16" s="62" t="s">
        <v>50</v>
      </c>
      <c r="D16" s="62" t="s">
        <v>336</v>
      </c>
      <c r="E16" s="69" t="s">
        <v>367</v>
      </c>
      <c r="F16" s="69" t="s">
        <v>366</v>
      </c>
      <c r="G16" s="40">
        <v>400.0</v>
      </c>
      <c r="H16" s="40">
        <v>81219.05</v>
      </c>
      <c r="I16" s="37">
        <v>0.016456</v>
      </c>
      <c r="J16" s="37">
        <v>0.2747</v>
      </c>
      <c r="K16" s="40">
        <v>1.8537</v>
      </c>
      <c r="L16" s="40">
        <v>41.1602</v>
      </c>
      <c r="M16" s="40">
        <v>0.0</v>
      </c>
      <c r="N16" s="40">
        <v>0.0</v>
      </c>
      <c r="O16" s="40">
        <v>67.84</v>
      </c>
      <c r="P16" s="40">
        <v>71.22</v>
      </c>
      <c r="Q16" s="40">
        <v>81.6497</v>
      </c>
      <c r="R16" s="36">
        <v>2500.0</v>
      </c>
      <c r="S16" s="36">
        <v>150.0</v>
      </c>
      <c r="T16" s="36">
        <v>3000.0</v>
      </c>
      <c r="U16" s="36">
        <v>300.0</v>
      </c>
      <c r="V16" s="40">
        <v>4098.0</v>
      </c>
      <c r="W16" s="40">
        <v>9587.0</v>
      </c>
      <c r="X16" s="40">
        <v>1728.0</v>
      </c>
      <c r="Y16" s="40">
        <v>9699.0</v>
      </c>
      <c r="Z16" s="37">
        <f t="shared" si="2"/>
        <v>0.8571807335</v>
      </c>
      <c r="AA16" s="40">
        <v>1.0</v>
      </c>
      <c r="AB16" s="37">
        <f t="shared" si="3"/>
        <v>0.000104307917</v>
      </c>
      <c r="AC16" s="40">
        <v>0.0</v>
      </c>
      <c r="AD16" s="37">
        <f t="shared" si="4"/>
        <v>0</v>
      </c>
      <c r="AE16" s="40">
        <v>0.0</v>
      </c>
      <c r="AF16" s="40">
        <v>0.0</v>
      </c>
      <c r="AG16" s="40">
        <v>6978.414226804137</v>
      </c>
      <c r="AH16" s="40">
        <v>16854.49999999999</v>
      </c>
      <c r="AI16" s="40">
        <v>42443.0</v>
      </c>
      <c r="AJ16" s="40">
        <v>77776.21703918905</v>
      </c>
      <c r="AK16" s="36">
        <v>142836.392421</v>
      </c>
      <c r="AL16" s="41">
        <v>6.0</v>
      </c>
      <c r="AM16" s="40">
        <v>262.0</v>
      </c>
      <c r="AN16" s="40">
        <v>43.67</v>
      </c>
      <c r="AO16" s="40">
        <v>1.5335</v>
      </c>
      <c r="AP16" s="40">
        <v>1533.5145</v>
      </c>
      <c r="AQ16" s="40">
        <v>920.3555</v>
      </c>
      <c r="AR16" s="64"/>
      <c r="AS16" s="65"/>
      <c r="AT16" s="40">
        <v>1917.0</v>
      </c>
      <c r="AU16" s="40">
        <v>1150.0</v>
      </c>
      <c r="AV16" s="40">
        <v>997.0</v>
      </c>
      <c r="AW16" s="40">
        <v>598.0</v>
      </c>
      <c r="AX16" s="62" t="s">
        <v>368</v>
      </c>
      <c r="AY16" s="66" t="s">
        <v>369</v>
      </c>
      <c r="AZ16" s="64"/>
      <c r="BA16" s="64"/>
      <c r="BB16" s="62" t="s">
        <v>339</v>
      </c>
      <c r="BC16" s="40">
        <v>10.0</v>
      </c>
      <c r="BD16" s="40">
        <v>10.0</v>
      </c>
      <c r="BE16" s="40">
        <v>10000.0</v>
      </c>
      <c r="BF16" s="69" t="s">
        <v>370</v>
      </c>
      <c r="BG16" s="69" t="s">
        <v>371</v>
      </c>
      <c r="BH16" s="69" t="s">
        <v>372</v>
      </c>
      <c r="BI16" s="70" t="s">
        <v>373</v>
      </c>
    </row>
    <row r="17" ht="22.5" customHeight="1">
      <c r="A17" s="45" t="s">
        <v>374</v>
      </c>
      <c r="B17" s="68" t="s">
        <v>375</v>
      </c>
      <c r="C17" s="58" t="s">
        <v>50</v>
      </c>
      <c r="D17" s="58" t="s">
        <v>376</v>
      </c>
      <c r="E17" s="68" t="s">
        <v>377</v>
      </c>
      <c r="F17" s="68" t="s">
        <v>375</v>
      </c>
      <c r="G17" s="52">
        <v>400.0</v>
      </c>
      <c r="H17" s="52">
        <v>409888.6071</v>
      </c>
      <c r="I17" s="51">
        <v>0.088485</v>
      </c>
      <c r="J17" s="51">
        <v>0.026888</v>
      </c>
      <c r="K17" s="52">
        <v>3.4012</v>
      </c>
      <c r="L17" s="52">
        <v>117.5156</v>
      </c>
      <c r="M17" s="52">
        <v>0.0</v>
      </c>
      <c r="N17" s="52">
        <v>0.0</v>
      </c>
      <c r="O17" s="52">
        <v>141.62</v>
      </c>
      <c r="P17" s="52">
        <v>148.7666</v>
      </c>
      <c r="Q17" s="52">
        <v>141.4214</v>
      </c>
      <c r="R17" s="49">
        <v>2500.0</v>
      </c>
      <c r="S17" s="49">
        <v>150.0</v>
      </c>
      <c r="T17" s="49">
        <v>3000.0</v>
      </c>
      <c r="U17" s="49">
        <v>300.0</v>
      </c>
      <c r="V17" s="52">
        <v>4680.0</v>
      </c>
      <c r="W17" s="52">
        <v>50038.0</v>
      </c>
      <c r="X17" s="52">
        <v>1794.0</v>
      </c>
      <c r="Y17" s="52">
        <v>50194.0</v>
      </c>
      <c r="Z17" s="51">
        <f t="shared" si="2"/>
        <v>0.9683979009</v>
      </c>
      <c r="AA17" s="52">
        <v>114.0</v>
      </c>
      <c r="AB17" s="51">
        <f t="shared" si="3"/>
        <v>0.002278268516</v>
      </c>
      <c r="AC17" s="52">
        <v>0.0</v>
      </c>
      <c r="AD17" s="51">
        <f t="shared" si="4"/>
        <v>0</v>
      </c>
      <c r="AE17" s="52">
        <v>0.0</v>
      </c>
      <c r="AF17" s="52">
        <v>0.0</v>
      </c>
      <c r="AG17" s="52">
        <v>5608.103701200585</v>
      </c>
      <c r="AH17" s="52">
        <v>18330.64999999999</v>
      </c>
      <c r="AI17" s="52">
        <v>62084.0</v>
      </c>
      <c r="AJ17" s="52">
        <v>31836.02263135542</v>
      </c>
      <c r="AK17" s="49">
        <v>174055.756061</v>
      </c>
      <c r="AL17" s="53">
        <v>6.0</v>
      </c>
      <c r="AM17" s="52">
        <v>363.0</v>
      </c>
      <c r="AN17" s="52">
        <v>60.5</v>
      </c>
      <c r="AO17" s="52">
        <v>2.168</v>
      </c>
      <c r="AP17" s="52">
        <v>2168.0407</v>
      </c>
      <c r="AQ17" s="52">
        <v>991.3828</v>
      </c>
      <c r="AR17" s="52">
        <v>64.7</v>
      </c>
      <c r="AS17" s="54">
        <v>70.7</v>
      </c>
      <c r="AT17" s="52">
        <v>2710.0</v>
      </c>
      <c r="AU17" s="52">
        <v>1239.0</v>
      </c>
      <c r="AV17" s="52">
        <v>1409.0</v>
      </c>
      <c r="AW17" s="52">
        <v>644.0</v>
      </c>
      <c r="AX17" s="58" t="s">
        <v>378</v>
      </c>
      <c r="AY17" s="60" t="s">
        <v>379</v>
      </c>
      <c r="AZ17" s="59"/>
      <c r="BA17" s="59"/>
      <c r="BB17" s="58" t="s">
        <v>380</v>
      </c>
      <c r="BC17" s="52">
        <v>10.0</v>
      </c>
      <c r="BD17" s="52">
        <v>10.0</v>
      </c>
      <c r="BE17" s="52">
        <v>10000.0</v>
      </c>
      <c r="BF17" s="68" t="s">
        <v>370</v>
      </c>
      <c r="BG17" s="68" t="s">
        <v>371</v>
      </c>
      <c r="BH17" s="68" t="s">
        <v>372</v>
      </c>
      <c r="BI17" s="71" t="s">
        <v>373</v>
      </c>
    </row>
    <row r="18" ht="22.5" customHeight="1">
      <c r="A18" s="72" t="s">
        <v>381</v>
      </c>
      <c r="B18" s="69" t="s">
        <v>382</v>
      </c>
      <c r="C18" s="62" t="s">
        <v>50</v>
      </c>
      <c r="D18" s="62" t="s">
        <v>383</v>
      </c>
      <c r="E18" s="69" t="s">
        <v>384</v>
      </c>
      <c r="F18" s="69" t="s">
        <v>382</v>
      </c>
      <c r="G18" s="40">
        <v>130.0</v>
      </c>
      <c r="H18" s="40">
        <v>49368.901</v>
      </c>
      <c r="I18" s="37">
        <v>0.5382</v>
      </c>
      <c r="J18" s="37">
        <v>0.0493</v>
      </c>
      <c r="K18" s="40">
        <v>0.9175</v>
      </c>
      <c r="L18" s="40">
        <v>31.2266</v>
      </c>
      <c r="M18" s="40">
        <v>0.0</v>
      </c>
      <c r="N18" s="40">
        <v>0.0</v>
      </c>
      <c r="O18" s="40">
        <v>46.1</v>
      </c>
      <c r="P18" s="40">
        <v>54.61</v>
      </c>
      <c r="Q18" s="40">
        <v>101.0153</v>
      </c>
      <c r="R18" s="36">
        <v>2500.0</v>
      </c>
      <c r="S18" s="36">
        <v>150.0</v>
      </c>
      <c r="T18" s="36">
        <v>3000.0</v>
      </c>
      <c r="U18" s="36">
        <v>300.0</v>
      </c>
      <c r="V18" s="40">
        <v>2403.0</v>
      </c>
      <c r="W18" s="40">
        <f t="shared" ref="W18:W20" si="16">Y18+X18</f>
        <v>19664</v>
      </c>
      <c r="X18" s="40">
        <v>13653.0</v>
      </c>
      <c r="Y18" s="40">
        <v>6011.0</v>
      </c>
      <c r="Z18" s="37">
        <f t="shared" ref="Z18:Z21" si="17">Y18/W18</f>
        <v>0.3056855167</v>
      </c>
      <c r="AA18" s="40">
        <v>0.0</v>
      </c>
      <c r="AB18" s="37">
        <f t="shared" si="3"/>
        <v>0</v>
      </c>
      <c r="AC18" s="40">
        <v>0.0</v>
      </c>
      <c r="AD18" s="37">
        <f t="shared" si="4"/>
        <v>0</v>
      </c>
      <c r="AE18" s="40">
        <v>0.0</v>
      </c>
      <c r="AF18" s="40">
        <v>0.0</v>
      </c>
      <c r="AG18" s="40">
        <v>2981.336549658958</v>
      </c>
      <c r="AH18" s="40">
        <v>8311.499999999998</v>
      </c>
      <c r="AI18" s="40">
        <v>36608.0</v>
      </c>
      <c r="AJ18" s="40">
        <v>68614.11204297905</v>
      </c>
      <c r="AK18" s="40">
        <v>111092.190747</v>
      </c>
      <c r="AL18" s="41">
        <v>6.0</v>
      </c>
      <c r="AM18" s="40">
        <v>181.0</v>
      </c>
      <c r="AN18" s="40">
        <v>30.17</v>
      </c>
      <c r="AO18" s="40">
        <v>1.2945</v>
      </c>
      <c r="AP18" s="40">
        <f>AO18*1000</f>
        <v>1294.5</v>
      </c>
      <c r="AQ18" s="40">
        <v>706.2188</v>
      </c>
      <c r="AR18" s="40">
        <v>48.6</v>
      </c>
      <c r="AS18" s="42">
        <v>72.5</v>
      </c>
      <c r="AT18" s="40">
        <v>1990.0</v>
      </c>
      <c r="AU18" s="40">
        <v>883.0</v>
      </c>
      <c r="AV18" s="40">
        <v>1035.0</v>
      </c>
      <c r="AW18" s="40">
        <v>459.0</v>
      </c>
      <c r="AX18" s="62" t="s">
        <v>385</v>
      </c>
      <c r="AY18" s="66" t="s">
        <v>386</v>
      </c>
      <c r="AZ18" s="64"/>
      <c r="BA18" s="64"/>
      <c r="BB18" s="62" t="s">
        <v>387</v>
      </c>
      <c r="BC18" s="40">
        <v>10.0</v>
      </c>
      <c r="BD18" s="40">
        <v>10.0</v>
      </c>
      <c r="BE18" s="40">
        <v>10000.0</v>
      </c>
      <c r="BF18" s="69" t="s">
        <v>370</v>
      </c>
      <c r="BG18" s="69" t="s">
        <v>371</v>
      </c>
      <c r="BH18" s="69" t="s">
        <v>388</v>
      </c>
      <c r="BI18" s="70" t="s">
        <v>373</v>
      </c>
    </row>
    <row r="19" ht="22.5" customHeight="1">
      <c r="A19" s="73" t="s">
        <v>389</v>
      </c>
      <c r="B19" s="68" t="s">
        <v>390</v>
      </c>
      <c r="C19" s="58" t="s">
        <v>50</v>
      </c>
      <c r="D19" s="58" t="s">
        <v>391</v>
      </c>
      <c r="E19" s="68" t="s">
        <v>392</v>
      </c>
      <c r="F19" s="68" t="s">
        <v>390</v>
      </c>
      <c r="G19" s="52">
        <v>130.0</v>
      </c>
      <c r="H19" s="52">
        <v>44484.224</v>
      </c>
      <c r="I19" s="51">
        <v>0.5488</v>
      </c>
      <c r="J19" s="51">
        <v>0.2047</v>
      </c>
      <c r="K19" s="52">
        <v>0.9787</v>
      </c>
      <c r="L19" s="52">
        <v>41.1172</v>
      </c>
      <c r="M19" s="52">
        <v>0.0</v>
      </c>
      <c r="N19" s="52">
        <v>0.0</v>
      </c>
      <c r="O19" s="52">
        <v>46.1</v>
      </c>
      <c r="P19" s="52">
        <v>54.61</v>
      </c>
      <c r="Q19" s="52">
        <v>223.6068</v>
      </c>
      <c r="R19" s="49">
        <v>2500.0</v>
      </c>
      <c r="S19" s="49">
        <v>150.0</v>
      </c>
      <c r="T19" s="49">
        <v>3000.0</v>
      </c>
      <c r="U19" s="49">
        <v>300.0</v>
      </c>
      <c r="V19" s="52">
        <v>2435.0</v>
      </c>
      <c r="W19" s="52">
        <f t="shared" si="16"/>
        <v>18124</v>
      </c>
      <c r="X19" s="52">
        <v>12816.0</v>
      </c>
      <c r="Y19" s="52">
        <v>5308.0</v>
      </c>
      <c r="Z19" s="51">
        <f t="shared" si="17"/>
        <v>0.2928713308</v>
      </c>
      <c r="AA19" s="52">
        <v>1.0</v>
      </c>
      <c r="AB19" s="51">
        <f t="shared" si="3"/>
        <v>0.00005517545796</v>
      </c>
      <c r="AC19" s="52">
        <v>0.0</v>
      </c>
      <c r="AD19" s="51">
        <f t="shared" si="4"/>
        <v>0</v>
      </c>
      <c r="AE19" s="52">
        <v>0.0</v>
      </c>
      <c r="AF19" s="52">
        <v>0.0</v>
      </c>
      <c r="AG19" s="52">
        <v>3012.007346016197</v>
      </c>
      <c r="AH19" s="52">
        <v>8996.199999999997</v>
      </c>
      <c r="AI19" s="52">
        <v>28093.0</v>
      </c>
      <c r="AJ19" s="52">
        <v>68334.3265516259</v>
      </c>
      <c r="AK19" s="52">
        <v>97582.415827</v>
      </c>
      <c r="AL19" s="53">
        <v>6.0</v>
      </c>
      <c r="AM19" s="52">
        <v>86.0</v>
      </c>
      <c r="AN19" s="52">
        <v>14.33</v>
      </c>
      <c r="AO19" s="52">
        <v>1.5918</v>
      </c>
      <c r="AP19" s="52">
        <v>1299.8808</v>
      </c>
      <c r="AQ19" s="52">
        <v>721.5625</v>
      </c>
      <c r="AR19" s="52">
        <v>47.0</v>
      </c>
      <c r="AS19" s="54">
        <v>73.2</v>
      </c>
      <c r="AT19" s="52">
        <v>1625.0</v>
      </c>
      <c r="AU19" s="52">
        <v>902.0</v>
      </c>
      <c r="AV19" s="52">
        <v>845.0</v>
      </c>
      <c r="AW19" s="52">
        <v>469.0</v>
      </c>
      <c r="AX19" s="58" t="s">
        <v>393</v>
      </c>
      <c r="AY19" s="60" t="s">
        <v>394</v>
      </c>
      <c r="AZ19" s="59"/>
      <c r="BA19" s="59"/>
      <c r="BB19" s="58" t="s">
        <v>395</v>
      </c>
      <c r="BC19" s="52">
        <v>10.0</v>
      </c>
      <c r="BD19" s="52">
        <v>10.0</v>
      </c>
      <c r="BE19" s="52">
        <v>10000.0</v>
      </c>
      <c r="BF19" s="68" t="s">
        <v>370</v>
      </c>
      <c r="BG19" s="68" t="s">
        <v>371</v>
      </c>
      <c r="BH19" s="68" t="s">
        <v>388</v>
      </c>
      <c r="BI19" s="71" t="s">
        <v>373</v>
      </c>
    </row>
    <row r="20" ht="22.5" customHeight="1">
      <c r="A20" s="72" t="s">
        <v>396</v>
      </c>
      <c r="B20" s="69" t="s">
        <v>397</v>
      </c>
      <c r="C20" s="62" t="s">
        <v>50</v>
      </c>
      <c r="D20" s="62" t="s">
        <v>398</v>
      </c>
      <c r="E20" s="69" t="s">
        <v>399</v>
      </c>
      <c r="F20" s="69" t="s">
        <v>397</v>
      </c>
      <c r="G20" s="40">
        <v>100.0</v>
      </c>
      <c r="H20" s="40">
        <v>247201.5289</v>
      </c>
      <c r="I20" s="37">
        <v>0.016663</v>
      </c>
      <c r="J20" s="37">
        <v>0.1816</v>
      </c>
      <c r="K20" s="40">
        <v>1.6037</v>
      </c>
      <c r="L20" s="40">
        <v>95.2539</v>
      </c>
      <c r="M20" s="40">
        <v>0.0</v>
      </c>
      <c r="N20" s="40">
        <v>0.0</v>
      </c>
      <c r="O20" s="40">
        <v>61.64</v>
      </c>
      <c r="P20" s="40">
        <v>66.18</v>
      </c>
      <c r="Q20" s="40">
        <v>223.6068</v>
      </c>
      <c r="R20" s="36">
        <v>2500.0</v>
      </c>
      <c r="S20" s="36">
        <v>150.0</v>
      </c>
      <c r="T20" s="36">
        <v>3000.0</v>
      </c>
      <c r="U20" s="36">
        <v>300.0</v>
      </c>
      <c r="V20" s="40">
        <v>3000.0</v>
      </c>
      <c r="W20" s="40">
        <f t="shared" si="16"/>
        <v>58745</v>
      </c>
      <c r="X20" s="40">
        <v>28082.0</v>
      </c>
      <c r="Y20" s="40">
        <v>30663.0</v>
      </c>
      <c r="Z20" s="37">
        <f t="shared" si="17"/>
        <v>0.521967827</v>
      </c>
      <c r="AA20" s="40">
        <v>3.0</v>
      </c>
      <c r="AB20" s="37">
        <f t="shared" si="3"/>
        <v>0.00005106817601</v>
      </c>
      <c r="AC20" s="40">
        <v>0.0</v>
      </c>
      <c r="AD20" s="37">
        <f t="shared" si="4"/>
        <v>0</v>
      </c>
      <c r="AE20" s="40">
        <v>0.0</v>
      </c>
      <c r="AF20" s="40">
        <v>0.0</v>
      </c>
      <c r="AG20" s="40">
        <v>5123.012848105398</v>
      </c>
      <c r="AH20" s="40">
        <v>14426.75</v>
      </c>
      <c r="AI20" s="40">
        <v>36678.0</v>
      </c>
      <c r="AJ20" s="40">
        <v>73174.36860032014</v>
      </c>
      <c r="AK20" s="40">
        <v>125521.608187</v>
      </c>
      <c r="AL20" s="41">
        <v>6.0</v>
      </c>
      <c r="AM20" s="40">
        <v>365.0</v>
      </c>
      <c r="AN20" s="40">
        <v>60.83</v>
      </c>
      <c r="AO20" s="40">
        <v>1.7305</v>
      </c>
      <c r="AP20" s="40">
        <v>1720.9501</v>
      </c>
      <c r="AQ20" s="40">
        <v>797.25</v>
      </c>
      <c r="AR20" s="40">
        <v>56.2</v>
      </c>
      <c r="AS20" s="42">
        <v>78.5</v>
      </c>
      <c r="AT20" s="40">
        <v>2151.0</v>
      </c>
      <c r="AU20" s="40">
        <v>997.0</v>
      </c>
      <c r="AV20" s="40">
        <v>1119.0</v>
      </c>
      <c r="AW20" s="40">
        <v>518.0</v>
      </c>
      <c r="AX20" s="64"/>
      <c r="AY20" s="66" t="s">
        <v>400</v>
      </c>
      <c r="AZ20" s="64"/>
      <c r="BA20" s="62" t="s">
        <v>401</v>
      </c>
      <c r="BB20" s="62" t="s">
        <v>402</v>
      </c>
      <c r="BC20" s="40">
        <v>10.0</v>
      </c>
      <c r="BD20" s="40">
        <v>10.0</v>
      </c>
      <c r="BE20" s="40">
        <v>10000.0</v>
      </c>
      <c r="BF20" s="69" t="s">
        <v>370</v>
      </c>
      <c r="BG20" s="69" t="s">
        <v>371</v>
      </c>
      <c r="BH20" s="69" t="s">
        <v>388</v>
      </c>
      <c r="BI20" s="70" t="s">
        <v>373</v>
      </c>
    </row>
    <row r="21" ht="22.5" customHeight="1">
      <c r="A21" s="73" t="s">
        <v>371</v>
      </c>
      <c r="B21" s="68" t="s">
        <v>403</v>
      </c>
      <c r="C21" s="58" t="s">
        <v>50</v>
      </c>
      <c r="D21" s="58" t="s">
        <v>404</v>
      </c>
      <c r="E21" s="68" t="s">
        <v>405</v>
      </c>
      <c r="F21" s="68" t="s">
        <v>403</v>
      </c>
      <c r="G21" s="52">
        <v>160.0</v>
      </c>
      <c r="H21" s="52">
        <v>47630.6186</v>
      </c>
      <c r="I21" s="51">
        <v>0.014738</v>
      </c>
      <c r="J21" s="51">
        <v>0.2342</v>
      </c>
      <c r="K21" s="52">
        <v>1.5163</v>
      </c>
      <c r="L21" s="52">
        <v>15.918</v>
      </c>
      <c r="M21" s="52">
        <v>0.0</v>
      </c>
      <c r="N21" s="52">
        <v>0.0</v>
      </c>
      <c r="O21" s="52">
        <v>58.9024</v>
      </c>
      <c r="P21" s="52">
        <v>65.625</v>
      </c>
      <c r="Q21" s="52">
        <v>81.4457</v>
      </c>
      <c r="R21" s="49">
        <v>2500.0</v>
      </c>
      <c r="S21" s="49">
        <v>150.0</v>
      </c>
      <c r="T21" s="49">
        <v>3000.0</v>
      </c>
      <c r="U21" s="49">
        <v>300.0</v>
      </c>
      <c r="V21" s="52">
        <v>2624.0</v>
      </c>
      <c r="W21" s="52">
        <f>X21+Y21</f>
        <v>26362</v>
      </c>
      <c r="X21" s="52">
        <v>20593.0</v>
      </c>
      <c r="Y21" s="52">
        <v>5769.0</v>
      </c>
      <c r="Z21" s="51">
        <f t="shared" si="17"/>
        <v>0.218837721</v>
      </c>
      <c r="AA21" s="52">
        <v>0.0</v>
      </c>
      <c r="AB21" s="51">
        <f t="shared" si="3"/>
        <v>0</v>
      </c>
      <c r="AC21" s="52">
        <v>0.0</v>
      </c>
      <c r="AD21" s="51">
        <f t="shared" si="4"/>
        <v>0</v>
      </c>
      <c r="AE21" s="52">
        <v>0.0</v>
      </c>
      <c r="AF21" s="52">
        <v>0.0</v>
      </c>
      <c r="AG21" s="52">
        <v>4193.602357427627</v>
      </c>
      <c r="AH21" s="52">
        <v>9431.399999999998</v>
      </c>
      <c r="AI21" s="52">
        <v>21021.0</v>
      </c>
      <c r="AJ21" s="52">
        <v>70220.86062449355</v>
      </c>
      <c r="AK21" s="52">
        <v>92018.531905</v>
      </c>
      <c r="AL21" s="53">
        <v>6.0</v>
      </c>
      <c r="AM21" s="52">
        <v>180.0</v>
      </c>
      <c r="AN21" s="52">
        <v>30.0</v>
      </c>
      <c r="AO21" s="52">
        <v>1.721</v>
      </c>
      <c r="AP21" s="52">
        <v>1721.0</v>
      </c>
      <c r="AQ21" s="52">
        <v>797.25</v>
      </c>
      <c r="AR21" s="52">
        <v>50.5</v>
      </c>
      <c r="AS21" s="54">
        <v>79.5</v>
      </c>
      <c r="AT21" s="52">
        <v>2151.0</v>
      </c>
      <c r="AU21" s="52">
        <v>997.0</v>
      </c>
      <c r="AV21" s="52">
        <v>1119.0</v>
      </c>
      <c r="AW21" s="52">
        <v>518.0</v>
      </c>
      <c r="AX21" s="59"/>
      <c r="AY21" s="60" t="s">
        <v>406</v>
      </c>
      <c r="AZ21" s="59"/>
      <c r="BA21" s="59"/>
      <c r="BB21" s="58" t="s">
        <v>407</v>
      </c>
      <c r="BC21" s="52">
        <v>10.0</v>
      </c>
      <c r="BD21" s="52">
        <v>10.0</v>
      </c>
      <c r="BE21" s="52">
        <v>10000.0</v>
      </c>
      <c r="BF21" s="68" t="s">
        <v>370</v>
      </c>
      <c r="BG21" s="68" t="s">
        <v>371</v>
      </c>
      <c r="BH21" s="68" t="s">
        <v>388</v>
      </c>
      <c r="BI21" s="71" t="s">
        <v>373</v>
      </c>
    </row>
    <row r="22" ht="22.5" customHeight="1">
      <c r="A22" s="72" t="s">
        <v>408</v>
      </c>
      <c r="B22" s="69" t="s">
        <v>409</v>
      </c>
      <c r="C22" s="62" t="s">
        <v>50</v>
      </c>
      <c r="D22" s="62" t="s">
        <v>383</v>
      </c>
      <c r="E22" s="69" t="s">
        <v>410</v>
      </c>
      <c r="F22" s="69" t="s">
        <v>409</v>
      </c>
      <c r="G22" s="40">
        <v>130.0</v>
      </c>
      <c r="H22" s="40">
        <v>115608.5714</v>
      </c>
      <c r="I22" s="40">
        <v>46.3043</v>
      </c>
      <c r="J22" s="40">
        <v>16.6333</v>
      </c>
      <c r="K22" s="40">
        <v>1.1187</v>
      </c>
      <c r="L22" s="40">
        <v>197.8242</v>
      </c>
      <c r="M22" s="40">
        <v>0.0</v>
      </c>
      <c r="N22" s="40">
        <v>0.0</v>
      </c>
      <c r="O22" s="40">
        <v>193.7368</v>
      </c>
      <c r="P22" s="40">
        <v>199.024</v>
      </c>
      <c r="Q22" s="40">
        <v>141.4214</v>
      </c>
      <c r="R22" s="36">
        <v>2500.0</v>
      </c>
      <c r="S22" s="36">
        <v>150.0</v>
      </c>
      <c r="T22" s="36">
        <v>3000.0</v>
      </c>
      <c r="U22" s="36">
        <v>300.0</v>
      </c>
      <c r="V22" s="40">
        <v>1435.0</v>
      </c>
      <c r="W22" s="40">
        <v>18462.0</v>
      </c>
      <c r="X22" s="40">
        <v>0.0</v>
      </c>
      <c r="Y22" s="40">
        <v>13946.0</v>
      </c>
      <c r="Z22" s="40">
        <v>75.5389</v>
      </c>
      <c r="AA22" s="40">
        <v>4516.0</v>
      </c>
      <c r="AB22" s="37">
        <f t="shared" si="3"/>
        <v>0.2446105514</v>
      </c>
      <c r="AC22" s="40">
        <v>512.0</v>
      </c>
      <c r="AD22" s="37">
        <f t="shared" si="4"/>
        <v>0.02773264002</v>
      </c>
      <c r="AE22" s="40">
        <v>0.0</v>
      </c>
      <c r="AF22" s="40">
        <v>0.0</v>
      </c>
      <c r="AG22" s="40">
        <v>5320.993229335933</v>
      </c>
      <c r="AH22" s="40">
        <v>18201.95</v>
      </c>
      <c r="AI22" s="40">
        <v>60584.0</v>
      </c>
      <c r="AJ22" s="40">
        <v>5731.681025487729</v>
      </c>
      <c r="AK22" s="40">
        <v>67926.101193</v>
      </c>
      <c r="AL22" s="41">
        <v>3.0</v>
      </c>
      <c r="AM22" s="40">
        <v>323.0</v>
      </c>
      <c r="AN22" s="40">
        <v>107.67</v>
      </c>
      <c r="AO22" s="40">
        <v>2.498</v>
      </c>
      <c r="AP22" s="40">
        <v>2498.0</v>
      </c>
      <c r="AQ22" s="40">
        <v>1150.9961</v>
      </c>
      <c r="AR22" s="40">
        <v>65.7</v>
      </c>
      <c r="AS22" s="42">
        <v>43.4</v>
      </c>
      <c r="AT22" s="40">
        <v>3123.0</v>
      </c>
      <c r="AU22" s="40">
        <v>1439.0</v>
      </c>
      <c r="AV22" s="40">
        <v>1624.0</v>
      </c>
      <c r="AW22" s="40">
        <v>748.0</v>
      </c>
      <c r="AX22" s="62" t="s">
        <v>411</v>
      </c>
      <c r="AY22" s="66" t="s">
        <v>412</v>
      </c>
      <c r="AZ22" s="64"/>
      <c r="BA22" s="64"/>
      <c r="BB22" s="64"/>
      <c r="BC22" s="40">
        <v>10.0</v>
      </c>
      <c r="BD22" s="40">
        <v>10.0</v>
      </c>
      <c r="BE22" s="40">
        <v>10000.0</v>
      </c>
      <c r="BF22" s="69" t="s">
        <v>370</v>
      </c>
      <c r="BG22" s="69" t="s">
        <v>371</v>
      </c>
      <c r="BH22" s="69" t="s">
        <v>413</v>
      </c>
      <c r="BI22" s="70" t="s">
        <v>373</v>
      </c>
    </row>
    <row r="23" ht="22.5" customHeight="1">
      <c r="A23" s="73" t="s">
        <v>414</v>
      </c>
      <c r="B23" s="68" t="s">
        <v>415</v>
      </c>
      <c r="C23" s="58" t="s">
        <v>50</v>
      </c>
      <c r="D23" s="58" t="s">
        <v>391</v>
      </c>
      <c r="E23" s="68" t="s">
        <v>416</v>
      </c>
      <c r="F23" s="68" t="s">
        <v>415</v>
      </c>
      <c r="G23" s="52">
        <v>130.0</v>
      </c>
      <c r="H23" s="52">
        <v>115371.2122</v>
      </c>
      <c r="I23" s="52">
        <v>38.4651</v>
      </c>
      <c r="J23" s="52">
        <v>13.3821</v>
      </c>
      <c r="K23" s="52">
        <v>1.425</v>
      </c>
      <c r="L23" s="52">
        <v>215.875</v>
      </c>
      <c r="M23" s="52">
        <v>0.0</v>
      </c>
      <c r="N23" s="52">
        <v>0.0</v>
      </c>
      <c r="O23" s="52">
        <v>210.1484</v>
      </c>
      <c r="P23" s="52">
        <v>232.9227</v>
      </c>
      <c r="Q23" s="52">
        <v>141.4214</v>
      </c>
      <c r="R23" s="49">
        <v>2500.0</v>
      </c>
      <c r="S23" s="49">
        <v>150.0</v>
      </c>
      <c r="T23" s="49">
        <v>3000.0</v>
      </c>
      <c r="U23" s="49">
        <v>300.0</v>
      </c>
      <c r="V23" s="52">
        <v>1410.0</v>
      </c>
      <c r="W23" s="52">
        <v>17974.0</v>
      </c>
      <c r="X23" s="52">
        <v>0.0</v>
      </c>
      <c r="Y23" s="52">
        <v>15114.0</v>
      </c>
      <c r="Z23" s="52">
        <v>84.0881</v>
      </c>
      <c r="AA23" s="52">
        <v>2860.0</v>
      </c>
      <c r="AB23" s="51">
        <f t="shared" si="3"/>
        <v>0.1591187271</v>
      </c>
      <c r="AC23" s="52">
        <v>209.0</v>
      </c>
      <c r="AD23" s="51">
        <f t="shared" si="4"/>
        <v>0.01162790698</v>
      </c>
      <c r="AE23" s="52">
        <v>0.0</v>
      </c>
      <c r="AF23" s="52">
        <v>0.0</v>
      </c>
      <c r="AG23" s="52">
        <v>3652.374429731835</v>
      </c>
      <c r="AH23" s="52">
        <v>14990.79999999999</v>
      </c>
      <c r="AI23" s="52">
        <v>60092.0</v>
      </c>
      <c r="AJ23" s="52">
        <v>3991.148919158839</v>
      </c>
      <c r="AK23" s="52">
        <v>62062.507676</v>
      </c>
      <c r="AL23" s="53">
        <v>3.0</v>
      </c>
      <c r="AM23" s="52">
        <v>237.0</v>
      </c>
      <c r="AN23" s="52">
        <v>79.0</v>
      </c>
      <c r="AO23" s="52">
        <v>2.5007</v>
      </c>
      <c r="AP23" s="52">
        <v>2500.7</v>
      </c>
      <c r="AQ23" s="52">
        <v>1149.168</v>
      </c>
      <c r="AR23" s="52">
        <v>66.7</v>
      </c>
      <c r="AS23" s="54">
        <v>43.9</v>
      </c>
      <c r="AT23" s="52">
        <v>3126.0</v>
      </c>
      <c r="AU23" s="52">
        <v>1436.0</v>
      </c>
      <c r="AV23" s="52">
        <v>1625.0</v>
      </c>
      <c r="AW23" s="52">
        <v>747.0</v>
      </c>
      <c r="AX23" s="59"/>
      <c r="AY23" s="60" t="s">
        <v>417</v>
      </c>
      <c r="AZ23" s="59"/>
      <c r="BA23" s="59"/>
      <c r="BB23" s="59"/>
      <c r="BC23" s="52">
        <v>10.0</v>
      </c>
      <c r="BD23" s="52">
        <v>10.0</v>
      </c>
      <c r="BE23" s="52">
        <v>10000.0</v>
      </c>
      <c r="BF23" s="68" t="s">
        <v>370</v>
      </c>
      <c r="BG23" s="68" t="s">
        <v>371</v>
      </c>
      <c r="BH23" s="68" t="s">
        <v>413</v>
      </c>
      <c r="BI23" s="71" t="s">
        <v>373</v>
      </c>
    </row>
    <row r="24" ht="22.5" customHeight="1">
      <c r="A24" s="72" t="s">
        <v>418</v>
      </c>
      <c r="B24" s="69" t="s">
        <v>419</v>
      </c>
      <c r="C24" s="62" t="s">
        <v>50</v>
      </c>
      <c r="D24" s="62" t="s">
        <v>398</v>
      </c>
      <c r="E24" s="69" t="s">
        <v>420</v>
      </c>
      <c r="F24" s="69" t="s">
        <v>419</v>
      </c>
      <c r="G24" s="40">
        <v>100.0</v>
      </c>
      <c r="H24" s="40">
        <v>442650.1786</v>
      </c>
      <c r="I24" s="40">
        <v>40.2982</v>
      </c>
      <c r="J24" s="40">
        <v>8.127</v>
      </c>
      <c r="K24" s="40">
        <v>1.3937</v>
      </c>
      <c r="L24" s="40">
        <v>303.9688</v>
      </c>
      <c r="M24" s="40">
        <v>0.0</v>
      </c>
      <c r="N24" s="40">
        <v>0.0</v>
      </c>
      <c r="O24" s="40">
        <v>224.66</v>
      </c>
      <c r="P24" s="40">
        <v>226.91</v>
      </c>
      <c r="Q24" s="40">
        <v>132.174</v>
      </c>
      <c r="R24" s="36">
        <v>2500.0</v>
      </c>
      <c r="S24" s="36">
        <v>150.0</v>
      </c>
      <c r="T24" s="36">
        <v>3000.0</v>
      </c>
      <c r="U24" s="36">
        <v>300.0</v>
      </c>
      <c r="V24" s="40">
        <v>943.0</v>
      </c>
      <c r="W24" s="40">
        <v>59147.0</v>
      </c>
      <c r="X24" s="40">
        <v>0.0</v>
      </c>
      <c r="Y24" s="40">
        <v>55359.0</v>
      </c>
      <c r="Z24" s="40">
        <v>93.5956</v>
      </c>
      <c r="AA24" s="40">
        <v>3788.0</v>
      </c>
      <c r="AB24" s="37">
        <f t="shared" si="3"/>
        <v>0.06404382302</v>
      </c>
      <c r="AC24" s="40">
        <v>20.0</v>
      </c>
      <c r="AD24" s="37">
        <f t="shared" si="4"/>
        <v>0.000338140565</v>
      </c>
      <c r="AE24" s="40">
        <v>0.0</v>
      </c>
      <c r="AF24" s="40">
        <v>0.0</v>
      </c>
      <c r="AG24" s="40">
        <v>1465.646660016569</v>
      </c>
      <c r="AH24" s="40">
        <v>7717.799999999988</v>
      </c>
      <c r="AI24" s="40">
        <v>60152.0</v>
      </c>
      <c r="AJ24" s="40">
        <v>1604.645776179344</v>
      </c>
      <c r="AK24" s="40">
        <v>60351.294081</v>
      </c>
      <c r="AL24" s="41">
        <v>3.0</v>
      </c>
      <c r="AM24" s="40">
        <v>352.0</v>
      </c>
      <c r="AN24" s="40">
        <v>117.33</v>
      </c>
      <c r="AO24" s="40">
        <v>2.4947</v>
      </c>
      <c r="AP24" s="40">
        <v>2494.7</v>
      </c>
      <c r="AQ24" s="40">
        <v>1121.3008</v>
      </c>
      <c r="AR24" s="40">
        <v>67.2</v>
      </c>
      <c r="AS24" s="42">
        <v>44.4</v>
      </c>
      <c r="AT24" s="40">
        <v>3118.0</v>
      </c>
      <c r="AU24" s="40">
        <v>1402.0</v>
      </c>
      <c r="AV24" s="40">
        <v>1622.0</v>
      </c>
      <c r="AW24" s="40">
        <v>729.0</v>
      </c>
      <c r="AX24" s="64"/>
      <c r="AY24" s="66" t="s">
        <v>421</v>
      </c>
      <c r="AZ24" s="64"/>
      <c r="BA24" s="64"/>
      <c r="BB24" s="62" t="s">
        <v>422</v>
      </c>
      <c r="BC24" s="40">
        <v>10.0</v>
      </c>
      <c r="BD24" s="40">
        <v>10.0</v>
      </c>
      <c r="BE24" s="40">
        <v>10000.0</v>
      </c>
      <c r="BF24" s="69" t="s">
        <v>370</v>
      </c>
      <c r="BG24" s="69" t="s">
        <v>371</v>
      </c>
      <c r="BH24" s="69" t="s">
        <v>413</v>
      </c>
      <c r="BI24" s="70" t="s">
        <v>373</v>
      </c>
    </row>
    <row r="25" ht="22.5" customHeight="1">
      <c r="A25" s="73" t="s">
        <v>388</v>
      </c>
      <c r="B25" s="68" t="s">
        <v>423</v>
      </c>
      <c r="C25" s="58" t="s">
        <v>50</v>
      </c>
      <c r="D25" s="58" t="s">
        <v>404</v>
      </c>
      <c r="E25" s="68" t="s">
        <v>424</v>
      </c>
      <c r="F25" s="68" t="s">
        <v>423</v>
      </c>
      <c r="G25" s="52">
        <v>160.0</v>
      </c>
      <c r="H25" s="52">
        <v>62678.981</v>
      </c>
      <c r="I25" s="52">
        <v>59.4603</v>
      </c>
      <c r="J25" s="52">
        <v>40.4015</v>
      </c>
      <c r="K25" s="52">
        <v>2.02</v>
      </c>
      <c r="L25" s="52">
        <v>424.3086</v>
      </c>
      <c r="M25" s="52">
        <v>0.0</v>
      </c>
      <c r="N25" s="52">
        <v>0.0</v>
      </c>
      <c r="O25" s="52">
        <v>195.34</v>
      </c>
      <c r="P25" s="52">
        <v>224.2646</v>
      </c>
      <c r="Q25" s="52">
        <v>137.1992</v>
      </c>
      <c r="R25" s="49">
        <v>2500.0</v>
      </c>
      <c r="S25" s="49">
        <v>150.0</v>
      </c>
      <c r="T25" s="49">
        <v>3000.0</v>
      </c>
      <c r="U25" s="49">
        <v>300.0</v>
      </c>
      <c r="V25" s="52">
        <v>1500.0</v>
      </c>
      <c r="W25" s="52">
        <v>21442.0</v>
      </c>
      <c r="X25" s="52">
        <v>0.0</v>
      </c>
      <c r="Y25" s="52">
        <v>9260.0</v>
      </c>
      <c r="Z25" s="52">
        <v>43.1863</v>
      </c>
      <c r="AA25" s="52">
        <v>12182.0</v>
      </c>
      <c r="AB25" s="51">
        <f t="shared" si="3"/>
        <v>0.5681373006</v>
      </c>
      <c r="AC25" s="52">
        <v>1080.0</v>
      </c>
      <c r="AD25" s="51">
        <f t="shared" si="4"/>
        <v>0.05036843578</v>
      </c>
      <c r="AE25" s="52">
        <v>0.0</v>
      </c>
      <c r="AF25" s="52">
        <v>0.0</v>
      </c>
      <c r="AG25" s="52">
        <v>10703.746665423</v>
      </c>
      <c r="AH25" s="52">
        <v>60015.0</v>
      </c>
      <c r="AI25" s="52">
        <v>61464.0</v>
      </c>
      <c r="AJ25" s="52">
        <v>12121.83583143182</v>
      </c>
      <c r="AK25" s="52">
        <v>74042.389302</v>
      </c>
      <c r="AL25" s="53">
        <v>3.0</v>
      </c>
      <c r="AM25" s="52">
        <v>517.0</v>
      </c>
      <c r="AN25" s="52">
        <v>172.33</v>
      </c>
      <c r="AO25" s="52">
        <v>2.4987</v>
      </c>
      <c r="AP25" s="52">
        <v>2498.7</v>
      </c>
      <c r="AQ25" s="52">
        <v>1229.043</v>
      </c>
      <c r="AR25" s="52">
        <v>63.8</v>
      </c>
      <c r="AS25" s="54">
        <v>44.6</v>
      </c>
      <c r="AT25" s="52">
        <v>3123.0</v>
      </c>
      <c r="AU25" s="52">
        <v>1536.0</v>
      </c>
      <c r="AV25" s="52">
        <v>1624.0</v>
      </c>
      <c r="AW25" s="52">
        <v>799.0</v>
      </c>
      <c r="AX25" s="59"/>
      <c r="AY25" s="60" t="s">
        <v>425</v>
      </c>
      <c r="AZ25" s="59"/>
      <c r="BA25" s="59"/>
      <c r="BB25" s="59"/>
      <c r="BC25" s="52">
        <v>10.0</v>
      </c>
      <c r="BD25" s="52">
        <v>10.0</v>
      </c>
      <c r="BE25" s="52">
        <v>10000.0</v>
      </c>
      <c r="BF25" s="68" t="s">
        <v>370</v>
      </c>
      <c r="BG25" s="68" t="s">
        <v>371</v>
      </c>
      <c r="BH25" s="68" t="s">
        <v>413</v>
      </c>
      <c r="BI25" s="71" t="s">
        <v>373</v>
      </c>
    </row>
    <row r="26" ht="22.5" customHeight="1">
      <c r="A26" s="72" t="s">
        <v>426</v>
      </c>
      <c r="B26" s="69" t="s">
        <v>427</v>
      </c>
      <c r="C26" s="62" t="s">
        <v>50</v>
      </c>
      <c r="D26" s="62" t="s">
        <v>383</v>
      </c>
      <c r="E26" s="69" t="s">
        <v>428</v>
      </c>
      <c r="F26" s="69" t="s">
        <v>427</v>
      </c>
      <c r="G26" s="40">
        <v>130.0</v>
      </c>
      <c r="H26" s="40">
        <v>167174.3415</v>
      </c>
      <c r="I26" s="40">
        <v>8.6007</v>
      </c>
      <c r="J26" s="40">
        <v>1.5579</v>
      </c>
      <c r="K26" s="40">
        <v>2.905</v>
      </c>
      <c r="L26" s="40">
        <v>176.4648</v>
      </c>
      <c r="M26" s="40">
        <v>0.0</v>
      </c>
      <c r="N26" s="40">
        <v>0.0</v>
      </c>
      <c r="O26" s="40">
        <v>157.2695</v>
      </c>
      <c r="P26" s="40">
        <v>159.14</v>
      </c>
      <c r="Q26" s="40">
        <v>118.6661</v>
      </c>
      <c r="R26" s="36">
        <v>2500.0</v>
      </c>
      <c r="S26" s="36">
        <v>150.0</v>
      </c>
      <c r="T26" s="36">
        <v>3000.0</v>
      </c>
      <c r="U26" s="36">
        <v>300.0</v>
      </c>
      <c r="V26" s="40">
        <v>400.0</v>
      </c>
      <c r="W26" s="40">
        <v>20399.0</v>
      </c>
      <c r="X26" s="40">
        <v>0.0</v>
      </c>
      <c r="Y26" s="40">
        <v>20399.0</v>
      </c>
      <c r="Z26" s="40">
        <v>100.0</v>
      </c>
      <c r="AA26" s="40">
        <v>0.0</v>
      </c>
      <c r="AB26" s="37">
        <f t="shared" si="3"/>
        <v>0</v>
      </c>
      <c r="AC26" s="40">
        <v>0.0</v>
      </c>
      <c r="AD26" s="37">
        <f t="shared" si="4"/>
        <v>0</v>
      </c>
      <c r="AE26" s="40">
        <v>0.0</v>
      </c>
      <c r="AF26" s="40">
        <v>0.0</v>
      </c>
      <c r="AG26" s="40">
        <v>236.2116770429923</v>
      </c>
      <c r="AH26" s="40">
        <v>455.0</v>
      </c>
      <c r="AI26" s="40">
        <v>5156.0</v>
      </c>
      <c r="AJ26" s="40">
        <v>325.3285503267296</v>
      </c>
      <c r="AK26" s="40">
        <v>5197.444638</v>
      </c>
      <c r="AL26" s="41">
        <v>6.0</v>
      </c>
      <c r="AM26" s="40">
        <v>156.0</v>
      </c>
      <c r="AN26" s="40">
        <v>26.0</v>
      </c>
      <c r="AO26" s="40">
        <v>2.269</v>
      </c>
      <c r="AP26" s="40">
        <v>2269.0</v>
      </c>
      <c r="AQ26" s="40">
        <v>842.3945</v>
      </c>
      <c r="AR26" s="40">
        <v>85.9</v>
      </c>
      <c r="AS26" s="42">
        <v>37.1</v>
      </c>
      <c r="AT26" s="40">
        <v>2836.0</v>
      </c>
      <c r="AU26" s="40">
        <v>1053.0</v>
      </c>
      <c r="AV26" s="40">
        <v>1475.0</v>
      </c>
      <c r="AW26" s="40">
        <v>548.0</v>
      </c>
      <c r="AX26" s="64"/>
      <c r="AY26" s="66" t="s">
        <v>429</v>
      </c>
      <c r="AZ26" s="64"/>
      <c r="BA26" s="64"/>
      <c r="BB26" s="62" t="s">
        <v>430</v>
      </c>
      <c r="BC26" s="40">
        <v>10.0</v>
      </c>
      <c r="BD26" s="40">
        <v>10.0</v>
      </c>
      <c r="BE26" s="40">
        <v>10000.0</v>
      </c>
      <c r="BF26" s="69" t="s">
        <v>370</v>
      </c>
      <c r="BG26" s="69" t="s">
        <v>371</v>
      </c>
      <c r="BH26" s="69" t="s">
        <v>413</v>
      </c>
      <c r="BI26" s="70" t="s">
        <v>373</v>
      </c>
    </row>
    <row r="27" ht="22.5" customHeight="1">
      <c r="A27" s="73" t="s">
        <v>431</v>
      </c>
      <c r="B27" s="68" t="s">
        <v>432</v>
      </c>
      <c r="C27" s="58" t="s">
        <v>50</v>
      </c>
      <c r="D27" s="58" t="s">
        <v>391</v>
      </c>
      <c r="E27" s="68" t="s">
        <v>433</v>
      </c>
      <c r="F27" s="68" t="s">
        <v>432</v>
      </c>
      <c r="G27" s="52">
        <v>130.0</v>
      </c>
      <c r="H27" s="52">
        <v>159711.6585</v>
      </c>
      <c r="I27" s="52">
        <v>7.0621</v>
      </c>
      <c r="J27" s="52">
        <v>1.1397</v>
      </c>
      <c r="K27" s="52">
        <v>2.465</v>
      </c>
      <c r="L27" s="52">
        <v>34.0352</v>
      </c>
      <c r="M27" s="52">
        <v>0.0</v>
      </c>
      <c r="N27" s="52">
        <v>0.0</v>
      </c>
      <c r="O27" s="52">
        <v>148.46</v>
      </c>
      <c r="P27" s="52">
        <v>152.5</v>
      </c>
      <c r="Q27" s="52">
        <v>223.6068</v>
      </c>
      <c r="R27" s="49">
        <v>2500.0</v>
      </c>
      <c r="S27" s="49">
        <v>150.0</v>
      </c>
      <c r="T27" s="49">
        <v>3000.0</v>
      </c>
      <c r="U27" s="49">
        <v>300.0</v>
      </c>
      <c r="V27" s="52">
        <v>400.0</v>
      </c>
      <c r="W27" s="52">
        <v>19488.0</v>
      </c>
      <c r="X27" s="52">
        <v>0.0</v>
      </c>
      <c r="Y27" s="52">
        <v>19487.0</v>
      </c>
      <c r="Z27" s="52">
        <v>99.9949</v>
      </c>
      <c r="AA27" s="52">
        <v>1.0</v>
      </c>
      <c r="AB27" s="51">
        <f t="shared" si="3"/>
        <v>0.0000513136289</v>
      </c>
      <c r="AC27" s="52">
        <v>0.0</v>
      </c>
      <c r="AD27" s="51">
        <f t="shared" si="4"/>
        <v>0</v>
      </c>
      <c r="AE27" s="52">
        <v>0.0</v>
      </c>
      <c r="AF27" s="52">
        <v>0.0</v>
      </c>
      <c r="AG27" s="52">
        <v>221.0634749589491</v>
      </c>
      <c r="AH27" s="52">
        <v>410.0</v>
      </c>
      <c r="AI27" s="52">
        <v>11116.0</v>
      </c>
      <c r="AJ27" s="52">
        <v>306.9943035788183</v>
      </c>
      <c r="AK27" s="52">
        <v>11219.137015</v>
      </c>
      <c r="AL27" s="53">
        <v>6.0</v>
      </c>
      <c r="AM27" s="52">
        <v>159.0</v>
      </c>
      <c r="AN27" s="52">
        <v>26.5</v>
      </c>
      <c r="AO27" s="52">
        <v>2.2</v>
      </c>
      <c r="AP27" s="52">
        <v>2200.0</v>
      </c>
      <c r="AQ27" s="52">
        <v>852.4023</v>
      </c>
      <c r="AR27" s="52">
        <v>77.1</v>
      </c>
      <c r="AS27" s="54">
        <v>37.9</v>
      </c>
      <c r="AT27" s="52">
        <v>2750.0</v>
      </c>
      <c r="AU27" s="52">
        <v>1066.0</v>
      </c>
      <c r="AV27" s="52">
        <v>1430.0</v>
      </c>
      <c r="AW27" s="52">
        <v>554.0</v>
      </c>
      <c r="AX27" s="59"/>
      <c r="AY27" s="60" t="s">
        <v>434</v>
      </c>
      <c r="AZ27" s="59"/>
      <c r="BA27" s="59"/>
      <c r="BB27" s="58" t="s">
        <v>435</v>
      </c>
      <c r="BC27" s="52">
        <v>10.0</v>
      </c>
      <c r="BD27" s="52">
        <v>10.0</v>
      </c>
      <c r="BE27" s="52">
        <v>10000.0</v>
      </c>
      <c r="BF27" s="68" t="s">
        <v>370</v>
      </c>
      <c r="BG27" s="68" t="s">
        <v>371</v>
      </c>
      <c r="BH27" s="68" t="s">
        <v>413</v>
      </c>
      <c r="BI27" s="71" t="s">
        <v>373</v>
      </c>
    </row>
    <row r="28" ht="22.5" customHeight="1">
      <c r="A28" s="72" t="s">
        <v>436</v>
      </c>
      <c r="B28" s="69" t="s">
        <v>437</v>
      </c>
      <c r="C28" s="62" t="s">
        <v>50</v>
      </c>
      <c r="D28" s="62" t="s">
        <v>398</v>
      </c>
      <c r="E28" s="69" t="s">
        <v>438</v>
      </c>
      <c r="F28" s="69" t="s">
        <v>437</v>
      </c>
      <c r="G28" s="40">
        <v>100.0</v>
      </c>
      <c r="H28" s="40">
        <v>483655.0534</v>
      </c>
      <c r="I28" s="40">
        <v>4.4671</v>
      </c>
      <c r="J28" s="40">
        <v>1.687</v>
      </c>
      <c r="K28" s="40">
        <v>2.905</v>
      </c>
      <c r="L28" s="40">
        <v>179.2188</v>
      </c>
      <c r="M28" s="40">
        <v>0.0</v>
      </c>
      <c r="N28" s="40">
        <v>0.0</v>
      </c>
      <c r="O28" s="40">
        <v>157.2695</v>
      </c>
      <c r="P28" s="40">
        <v>159.14</v>
      </c>
      <c r="Q28" s="40">
        <v>223.6068</v>
      </c>
      <c r="R28" s="36">
        <v>2500.0</v>
      </c>
      <c r="S28" s="36">
        <v>150.0</v>
      </c>
      <c r="T28" s="36">
        <v>3000.0</v>
      </c>
      <c r="U28" s="36">
        <v>300.0</v>
      </c>
      <c r="V28" s="40">
        <v>400.0</v>
      </c>
      <c r="W28" s="40">
        <v>59998.0</v>
      </c>
      <c r="X28" s="40">
        <v>0.0</v>
      </c>
      <c r="Y28" s="40">
        <v>59998.0</v>
      </c>
      <c r="Z28" s="40">
        <v>100.0</v>
      </c>
      <c r="AA28" s="40">
        <v>0.0</v>
      </c>
      <c r="AB28" s="37">
        <f t="shared" si="3"/>
        <v>0</v>
      </c>
      <c r="AC28" s="40">
        <v>0.0</v>
      </c>
      <c r="AD28" s="37">
        <f t="shared" si="4"/>
        <v>0</v>
      </c>
      <c r="AE28" s="40">
        <v>0.0</v>
      </c>
      <c r="AF28" s="40">
        <v>0.0</v>
      </c>
      <c r="AG28" s="40">
        <v>169.3823960798693</v>
      </c>
      <c r="AH28" s="40">
        <v>281.0</v>
      </c>
      <c r="AI28" s="40">
        <v>5217.0</v>
      </c>
      <c r="AJ28" s="40">
        <v>229.2164097800758</v>
      </c>
      <c r="AK28" s="40">
        <v>5244.145187</v>
      </c>
      <c r="AL28" s="41">
        <v>6.0</v>
      </c>
      <c r="AM28" s="40">
        <v>133.0</v>
      </c>
      <c r="AN28" s="40">
        <v>22.17</v>
      </c>
      <c r="AO28" s="40">
        <v>2.2556</v>
      </c>
      <c r="AP28" s="40">
        <v>2255.6</v>
      </c>
      <c r="AQ28" s="40">
        <v>847.6602</v>
      </c>
      <c r="AR28" s="40">
        <v>79.3</v>
      </c>
      <c r="AS28" s="42">
        <v>39.6</v>
      </c>
      <c r="AT28" s="40">
        <v>2820.0</v>
      </c>
      <c r="AU28" s="40">
        <v>1060.0</v>
      </c>
      <c r="AV28" s="40">
        <v>1466.0</v>
      </c>
      <c r="AW28" s="40">
        <v>551.0</v>
      </c>
      <c r="AX28" s="64"/>
      <c r="AY28" s="66" t="s">
        <v>439</v>
      </c>
      <c r="AZ28" s="64"/>
      <c r="BA28" s="64"/>
      <c r="BB28" s="62" t="s">
        <v>440</v>
      </c>
      <c r="BC28" s="40">
        <v>10.0</v>
      </c>
      <c r="BD28" s="40">
        <v>10.0</v>
      </c>
      <c r="BE28" s="40">
        <v>10000.0</v>
      </c>
      <c r="BF28" s="69" t="s">
        <v>370</v>
      </c>
      <c r="BG28" s="69" t="s">
        <v>371</v>
      </c>
      <c r="BH28" s="69" t="s">
        <v>413</v>
      </c>
      <c r="BI28" s="70" t="s">
        <v>373</v>
      </c>
    </row>
    <row r="29" ht="22.5" customHeight="1">
      <c r="A29" s="73" t="s">
        <v>372</v>
      </c>
      <c r="B29" s="68" t="s">
        <v>441</v>
      </c>
      <c r="C29" s="58" t="s">
        <v>50</v>
      </c>
      <c r="D29" s="58" t="s">
        <v>404</v>
      </c>
      <c r="E29" s="68" t="s">
        <v>442</v>
      </c>
      <c r="F29" s="68" t="s">
        <v>441</v>
      </c>
      <c r="G29" s="52">
        <v>160.0</v>
      </c>
      <c r="H29" s="52">
        <v>215240.9143</v>
      </c>
      <c r="I29" s="52">
        <v>23.0607</v>
      </c>
      <c r="J29" s="52">
        <v>8.5362</v>
      </c>
      <c r="K29" s="52">
        <v>5.0462</v>
      </c>
      <c r="L29" s="52">
        <v>262.3555</v>
      </c>
      <c r="M29" s="52">
        <v>0.0</v>
      </c>
      <c r="N29" s="52">
        <v>0.0</v>
      </c>
      <c r="O29" s="52">
        <v>181.6473</v>
      </c>
      <c r="P29" s="52">
        <v>182.18</v>
      </c>
      <c r="Q29" s="52">
        <v>61.7564</v>
      </c>
      <c r="R29" s="49">
        <v>2500.0</v>
      </c>
      <c r="S29" s="49">
        <v>150.0</v>
      </c>
      <c r="T29" s="49">
        <v>3000.0</v>
      </c>
      <c r="U29" s="49">
        <v>300.0</v>
      </c>
      <c r="V29" s="52">
        <v>449.0</v>
      </c>
      <c r="W29" s="52">
        <v>26440.0</v>
      </c>
      <c r="X29" s="52">
        <v>0.0</v>
      </c>
      <c r="Y29" s="52">
        <v>26313.0</v>
      </c>
      <c r="Z29" s="52">
        <v>99.5197</v>
      </c>
      <c r="AA29" s="52">
        <v>127.0</v>
      </c>
      <c r="AB29" s="51">
        <f t="shared" si="3"/>
        <v>0.00480332829</v>
      </c>
      <c r="AC29" s="52">
        <v>0.0</v>
      </c>
      <c r="AD29" s="51">
        <f t="shared" si="4"/>
        <v>0</v>
      </c>
      <c r="AE29" s="52">
        <v>0.0</v>
      </c>
      <c r="AF29" s="52">
        <v>0.0</v>
      </c>
      <c r="AG29" s="52">
        <v>868.4554841149773</v>
      </c>
      <c r="AH29" s="52">
        <v>2327.049999999999</v>
      </c>
      <c r="AI29" s="52">
        <v>13340.0</v>
      </c>
      <c r="AJ29" s="52">
        <v>1408.675504951169</v>
      </c>
      <c r="AK29" s="52">
        <v>17928.615984</v>
      </c>
      <c r="AL29" s="53">
        <v>6.0</v>
      </c>
      <c r="AM29" s="52">
        <v>274.0</v>
      </c>
      <c r="AN29" s="52">
        <v>45.67</v>
      </c>
      <c r="AO29" s="52">
        <v>2.3518</v>
      </c>
      <c r="AP29" s="52">
        <v>2351.8</v>
      </c>
      <c r="AQ29" s="52">
        <v>1074.8711</v>
      </c>
      <c r="AR29" s="52">
        <v>92.4</v>
      </c>
      <c r="AS29" s="54">
        <v>42.1</v>
      </c>
      <c r="AT29" s="52">
        <v>2940.0</v>
      </c>
      <c r="AU29" s="52">
        <v>1344.0</v>
      </c>
      <c r="AV29" s="52">
        <v>1529.0</v>
      </c>
      <c r="AW29" s="52">
        <v>699.0</v>
      </c>
      <c r="AX29" s="59"/>
      <c r="AY29" s="60" t="s">
        <v>443</v>
      </c>
      <c r="AZ29" s="59"/>
      <c r="BA29" s="59"/>
      <c r="BB29" s="59"/>
      <c r="BC29" s="52">
        <v>10.0</v>
      </c>
      <c r="BD29" s="52">
        <v>10.0</v>
      </c>
      <c r="BE29" s="52">
        <v>10000.0</v>
      </c>
      <c r="BF29" s="68" t="s">
        <v>370</v>
      </c>
      <c r="BG29" s="68" t="s">
        <v>371</v>
      </c>
      <c r="BH29" s="68" t="s">
        <v>413</v>
      </c>
      <c r="BI29" s="71" t="s">
        <v>373</v>
      </c>
    </row>
    <row r="30" ht="22.5" customHeight="1">
      <c r="A30" s="72" t="s">
        <v>444</v>
      </c>
      <c r="B30" s="69" t="s">
        <v>445</v>
      </c>
      <c r="C30" s="62" t="s">
        <v>50</v>
      </c>
      <c r="D30" s="62" t="s">
        <v>383</v>
      </c>
      <c r="E30" s="69" t="s">
        <v>446</v>
      </c>
      <c r="F30" s="69" t="s">
        <v>445</v>
      </c>
      <c r="G30" s="40">
        <v>130.0</v>
      </c>
      <c r="H30" s="40">
        <v>167176.3902</v>
      </c>
      <c r="I30" s="40">
        <v>1.9045</v>
      </c>
      <c r="J30" s="40">
        <v>0.1772</v>
      </c>
      <c r="K30" s="40">
        <v>4.1887</v>
      </c>
      <c r="L30" s="40">
        <v>37.4648</v>
      </c>
      <c r="M30" s="40">
        <v>0.0</v>
      </c>
      <c r="N30" s="40">
        <v>0.0</v>
      </c>
      <c r="O30" s="40">
        <v>105.2442</v>
      </c>
      <c r="P30" s="40">
        <v>110.848</v>
      </c>
      <c r="Q30" s="40">
        <v>89.707</v>
      </c>
      <c r="R30" s="36">
        <v>2500.0</v>
      </c>
      <c r="S30" s="36">
        <v>150.0</v>
      </c>
      <c r="T30" s="36">
        <v>3000.0</v>
      </c>
      <c r="U30" s="36">
        <v>300.0</v>
      </c>
      <c r="V30" s="40">
        <v>400.0</v>
      </c>
      <c r="W30" s="40">
        <v>20399.0</v>
      </c>
      <c r="X30" s="40">
        <v>0.0</v>
      </c>
      <c r="Y30" s="40">
        <v>20398.0</v>
      </c>
      <c r="Z30" s="40">
        <v>99.9951</v>
      </c>
      <c r="AA30" s="40">
        <v>1.0</v>
      </c>
      <c r="AB30" s="37">
        <f t="shared" si="3"/>
        <v>0.00004902201088</v>
      </c>
      <c r="AC30" s="40">
        <v>0.0</v>
      </c>
      <c r="AD30" s="37">
        <f t="shared" si="4"/>
        <v>0</v>
      </c>
      <c r="AE30" s="40">
        <v>0.0</v>
      </c>
      <c r="AF30" s="40">
        <v>0.0</v>
      </c>
      <c r="AG30" s="40">
        <v>287.7344477670474</v>
      </c>
      <c r="AH30" s="40">
        <v>650.0</v>
      </c>
      <c r="AI30" s="40">
        <v>11305.0</v>
      </c>
      <c r="AJ30" s="40">
        <v>381.3592606137072</v>
      </c>
      <c r="AK30" s="40">
        <v>11411.751927</v>
      </c>
      <c r="AL30" s="41">
        <v>9.0</v>
      </c>
      <c r="AM30" s="40">
        <v>147.0</v>
      </c>
      <c r="AN30" s="40">
        <f t="shared" ref="AN30:AN31" si="18">AM30/AL30</f>
        <v>16.33333333</v>
      </c>
      <c r="AO30" s="40">
        <v>1.6876</v>
      </c>
      <c r="AP30" s="40">
        <v>1687.6</v>
      </c>
      <c r="AQ30" s="40">
        <v>994.8828</v>
      </c>
      <c r="AR30" s="40">
        <v>90.9</v>
      </c>
      <c r="AS30" s="42">
        <v>45.1</v>
      </c>
      <c r="AT30" s="40">
        <v>2110.0</v>
      </c>
      <c r="AU30" s="40">
        <v>1244.0</v>
      </c>
      <c r="AV30" s="40">
        <v>1097.0</v>
      </c>
      <c r="AW30" s="40">
        <v>647.0</v>
      </c>
      <c r="AX30" s="64"/>
      <c r="AY30" s="66" t="s">
        <v>447</v>
      </c>
      <c r="AZ30" s="64"/>
      <c r="BA30" s="64"/>
      <c r="BB30" s="64"/>
      <c r="BC30" s="40">
        <v>10.0</v>
      </c>
      <c r="BD30" s="40">
        <v>10.0</v>
      </c>
      <c r="BE30" s="40">
        <v>10000.0</v>
      </c>
      <c r="BF30" s="69" t="s">
        <v>370</v>
      </c>
      <c r="BG30" s="69" t="s">
        <v>371</v>
      </c>
      <c r="BH30" s="69" t="s">
        <v>413</v>
      </c>
      <c r="BI30" s="70" t="s">
        <v>373</v>
      </c>
    </row>
    <row r="31" ht="22.5" customHeight="1">
      <c r="A31" s="73" t="s">
        <v>448</v>
      </c>
      <c r="B31" s="68" t="s">
        <v>449</v>
      </c>
      <c r="C31" s="58" t="s">
        <v>50</v>
      </c>
      <c r="D31" s="58" t="s">
        <v>391</v>
      </c>
      <c r="E31" s="68" t="s">
        <v>450</v>
      </c>
      <c r="F31" s="68" t="s">
        <v>449</v>
      </c>
      <c r="G31" s="52">
        <v>130.0</v>
      </c>
      <c r="H31" s="52">
        <v>160950.4683</v>
      </c>
      <c r="I31" s="52">
        <v>1.8858</v>
      </c>
      <c r="J31" s="52">
        <v>0.3566</v>
      </c>
      <c r="K31" s="52">
        <v>4.2025</v>
      </c>
      <c r="L31" s="52">
        <v>37.4648</v>
      </c>
      <c r="M31" s="52">
        <v>0.0</v>
      </c>
      <c r="N31" s="52">
        <v>0.0</v>
      </c>
      <c r="O31" s="52">
        <v>106.6157</v>
      </c>
      <c r="P31" s="52">
        <v>109.136</v>
      </c>
      <c r="Q31" s="52">
        <v>89.707</v>
      </c>
      <c r="R31" s="49">
        <v>2500.0</v>
      </c>
      <c r="S31" s="49">
        <v>150.0</v>
      </c>
      <c r="T31" s="49">
        <v>3000.0</v>
      </c>
      <c r="U31" s="49">
        <v>300.0</v>
      </c>
      <c r="V31" s="52">
        <v>400.0</v>
      </c>
      <c r="W31" s="52">
        <v>19499.0</v>
      </c>
      <c r="X31" s="52">
        <v>0.0</v>
      </c>
      <c r="Y31" s="52">
        <v>19498.0</v>
      </c>
      <c r="Z31" s="52">
        <v>99.9949</v>
      </c>
      <c r="AA31" s="52">
        <v>1.0</v>
      </c>
      <c r="AB31" s="51">
        <f t="shared" si="3"/>
        <v>0.00005128468127</v>
      </c>
      <c r="AC31" s="52">
        <v>0.0</v>
      </c>
      <c r="AD31" s="51">
        <f t="shared" si="4"/>
        <v>0</v>
      </c>
      <c r="AE31" s="52">
        <v>0.0</v>
      </c>
      <c r="AF31" s="52">
        <v>0.0</v>
      </c>
      <c r="AG31" s="52">
        <v>287.7373198625571</v>
      </c>
      <c r="AH31" s="52">
        <v>656.0</v>
      </c>
      <c r="AI31" s="52">
        <v>11139.0</v>
      </c>
      <c r="AJ31" s="52">
        <v>378.1685178367614</v>
      </c>
      <c r="AK31" s="52">
        <v>11208.486159</v>
      </c>
      <c r="AL31" s="53">
        <v>9.0</v>
      </c>
      <c r="AM31" s="52">
        <v>163.0</v>
      </c>
      <c r="AN31" s="52">
        <f t="shared" si="18"/>
        <v>18.11111111</v>
      </c>
      <c r="AO31" s="52">
        <v>1.6859</v>
      </c>
      <c r="AP31" s="52">
        <v>1685.9</v>
      </c>
      <c r="AQ31" s="52">
        <v>994.8828</v>
      </c>
      <c r="AR31" s="52">
        <v>77.5</v>
      </c>
      <c r="AS31" s="54">
        <v>45.1</v>
      </c>
      <c r="AT31" s="52">
        <v>2107.0</v>
      </c>
      <c r="AU31" s="52">
        <v>1244.0</v>
      </c>
      <c r="AV31" s="52">
        <v>1096.0</v>
      </c>
      <c r="AW31" s="52">
        <v>647.0</v>
      </c>
      <c r="AX31" s="59"/>
      <c r="AY31" s="60" t="s">
        <v>451</v>
      </c>
      <c r="AZ31" s="59"/>
      <c r="BA31" s="59"/>
      <c r="BB31" s="59"/>
      <c r="BC31" s="52">
        <v>10.0</v>
      </c>
      <c r="BD31" s="52">
        <v>10.0</v>
      </c>
      <c r="BE31" s="52">
        <v>10000.0</v>
      </c>
      <c r="BF31" s="68" t="s">
        <v>370</v>
      </c>
      <c r="BG31" s="68" t="s">
        <v>371</v>
      </c>
      <c r="BH31" s="68" t="s">
        <v>413</v>
      </c>
      <c r="BI31" s="71" t="s">
        <v>373</v>
      </c>
    </row>
    <row r="32" ht="22.5" customHeight="1">
      <c r="A32" s="72" t="s">
        <v>452</v>
      </c>
      <c r="B32" s="69" t="s">
        <v>453</v>
      </c>
      <c r="C32" s="62" t="s">
        <v>50</v>
      </c>
      <c r="D32" s="62" t="s">
        <v>398</v>
      </c>
      <c r="E32" s="69" t="s">
        <v>454</v>
      </c>
      <c r="F32" s="69" t="s">
        <v>453</v>
      </c>
      <c r="G32" s="40">
        <v>100.0</v>
      </c>
      <c r="H32" s="40">
        <v>485145.8598</v>
      </c>
      <c r="I32" s="40">
        <v>1.3463</v>
      </c>
      <c r="J32" s="40">
        <v>0.2321</v>
      </c>
      <c r="K32" s="40">
        <v>4.3962</v>
      </c>
      <c r="L32" s="40">
        <v>82.9844</v>
      </c>
      <c r="M32" s="40">
        <v>0.0</v>
      </c>
      <c r="N32" s="40">
        <v>0.0</v>
      </c>
      <c r="O32" s="40">
        <v>107.98</v>
      </c>
      <c r="P32" s="40">
        <v>111.4899</v>
      </c>
      <c r="Q32" s="40">
        <v>108.7857</v>
      </c>
      <c r="R32" s="36">
        <v>2500.0</v>
      </c>
      <c r="S32" s="36">
        <v>150.0</v>
      </c>
      <c r="T32" s="36">
        <v>3000.0</v>
      </c>
      <c r="U32" s="36">
        <v>300.0</v>
      </c>
      <c r="V32" s="40">
        <v>400.0</v>
      </c>
      <c r="W32" s="40">
        <v>59999.0</v>
      </c>
      <c r="X32" s="40">
        <v>0.0</v>
      </c>
      <c r="Y32" s="40">
        <v>59991.0</v>
      </c>
      <c r="Z32" s="40">
        <v>99.9867</v>
      </c>
      <c r="AA32" s="40">
        <v>8.0</v>
      </c>
      <c r="AB32" s="37">
        <f t="shared" si="3"/>
        <v>0.0001333355556</v>
      </c>
      <c r="AC32" s="40">
        <v>0.0</v>
      </c>
      <c r="AD32" s="37">
        <f t="shared" si="4"/>
        <v>0</v>
      </c>
      <c r="AE32" s="40">
        <v>0.0</v>
      </c>
      <c r="AF32" s="40">
        <v>0.0</v>
      </c>
      <c r="AG32" s="40">
        <v>183.0414006900115</v>
      </c>
      <c r="AH32" s="40">
        <v>321.0</v>
      </c>
      <c r="AI32" s="40">
        <v>11212.0</v>
      </c>
      <c r="AJ32" s="40">
        <v>243.4303083317553</v>
      </c>
      <c r="AK32" s="40">
        <v>11306.65211</v>
      </c>
      <c r="AL32" s="41">
        <v>9.0</v>
      </c>
      <c r="AM32" s="40">
        <v>143.0</v>
      </c>
      <c r="AN32" s="40">
        <v>15.89</v>
      </c>
      <c r="AO32" s="40">
        <v>1.766</v>
      </c>
      <c r="AP32" s="40">
        <v>1766.0</v>
      </c>
      <c r="AQ32" s="40">
        <v>1038.9922</v>
      </c>
      <c r="AR32" s="40">
        <v>81.9</v>
      </c>
      <c r="AS32" s="42">
        <v>46.7</v>
      </c>
      <c r="AT32" s="40">
        <v>2208.0</v>
      </c>
      <c r="AU32" s="40">
        <v>1299.0</v>
      </c>
      <c r="AV32" s="40">
        <v>1148.0</v>
      </c>
      <c r="AW32" s="40">
        <v>675.0</v>
      </c>
      <c r="AX32" s="64"/>
      <c r="AY32" s="66" t="s">
        <v>455</v>
      </c>
      <c r="AZ32" s="64"/>
      <c r="BA32" s="64"/>
      <c r="BB32" s="64"/>
      <c r="BC32" s="40">
        <v>10.0</v>
      </c>
      <c r="BD32" s="40">
        <v>10.0</v>
      </c>
      <c r="BE32" s="40">
        <v>10000.0</v>
      </c>
      <c r="BF32" s="69" t="s">
        <v>370</v>
      </c>
      <c r="BG32" s="69" t="s">
        <v>371</v>
      </c>
      <c r="BH32" s="69" t="s">
        <v>413</v>
      </c>
      <c r="BI32" s="70" t="s">
        <v>373</v>
      </c>
    </row>
    <row r="33" ht="22.5" customHeight="1">
      <c r="A33" s="73" t="s">
        <v>456</v>
      </c>
      <c r="B33" s="68" t="s">
        <v>457</v>
      </c>
      <c r="C33" s="58" t="s">
        <v>50</v>
      </c>
      <c r="D33" s="58" t="s">
        <v>404</v>
      </c>
      <c r="E33" s="68" t="s">
        <v>458</v>
      </c>
      <c r="F33" s="68" t="s">
        <v>457</v>
      </c>
      <c r="G33" s="52">
        <v>160.0</v>
      </c>
      <c r="H33" s="52">
        <v>208004.5278</v>
      </c>
      <c r="I33" s="52">
        <v>1.3093</v>
      </c>
      <c r="J33" s="52">
        <v>0.3223</v>
      </c>
      <c r="K33" s="52">
        <v>7.3675</v>
      </c>
      <c r="L33" s="52">
        <v>105.5352</v>
      </c>
      <c r="M33" s="59"/>
      <c r="N33" s="59"/>
      <c r="O33" s="52">
        <v>116.0255</v>
      </c>
      <c r="P33" s="52">
        <v>121.5232</v>
      </c>
      <c r="Q33" s="52">
        <v>103.5098</v>
      </c>
      <c r="R33" s="49">
        <v>2500.0</v>
      </c>
      <c r="S33" s="49">
        <v>150.0</v>
      </c>
      <c r="T33" s="49">
        <v>3000.0</v>
      </c>
      <c r="U33" s="49">
        <v>300.0</v>
      </c>
      <c r="V33" s="52">
        <v>606.0</v>
      </c>
      <c r="W33" s="52">
        <v>25973.0</v>
      </c>
      <c r="X33" s="52">
        <v>0.0</v>
      </c>
      <c r="Y33" s="52">
        <v>25921.0</v>
      </c>
      <c r="Z33" s="52">
        <v>99.7998</v>
      </c>
      <c r="AA33" s="52">
        <v>52.0</v>
      </c>
      <c r="AB33" s="51">
        <f t="shared" si="3"/>
        <v>0.002002079082</v>
      </c>
      <c r="AC33" s="52">
        <v>0.0</v>
      </c>
      <c r="AD33" s="51">
        <f t="shared" si="4"/>
        <v>0</v>
      </c>
      <c r="AE33" s="52">
        <v>0.0</v>
      </c>
      <c r="AF33" s="52">
        <v>0.0</v>
      </c>
      <c r="AG33" s="52">
        <v>1339.296230701113</v>
      </c>
      <c r="AH33" s="52">
        <v>3418.399999999998</v>
      </c>
      <c r="AI33" s="52">
        <v>12306.0</v>
      </c>
      <c r="AJ33" s="52">
        <v>2089.404381403796</v>
      </c>
      <c r="AK33" s="52">
        <v>13478.231228</v>
      </c>
      <c r="AL33" s="53">
        <v>9.0</v>
      </c>
      <c r="AM33" s="52">
        <v>353.0</v>
      </c>
      <c r="AN33" s="52">
        <v>39.22</v>
      </c>
      <c r="AO33" s="52">
        <v>1.7636</v>
      </c>
      <c r="AP33" s="52">
        <v>1763.6</v>
      </c>
      <c r="AQ33" s="52">
        <v>1058.2695</v>
      </c>
      <c r="AR33" s="52">
        <v>95.3</v>
      </c>
      <c r="AS33" s="54">
        <v>48.9</v>
      </c>
      <c r="AT33" s="52">
        <v>2205.0</v>
      </c>
      <c r="AU33" s="52">
        <v>1323.0</v>
      </c>
      <c r="AV33" s="52">
        <v>1146.0</v>
      </c>
      <c r="AW33" s="52">
        <v>688.0</v>
      </c>
      <c r="AX33" s="59"/>
      <c r="AY33" s="60" t="s">
        <v>459</v>
      </c>
      <c r="AZ33" s="59"/>
      <c r="BA33" s="59"/>
      <c r="BB33" s="58" t="s">
        <v>460</v>
      </c>
      <c r="BC33" s="52">
        <v>10.0</v>
      </c>
      <c r="BD33" s="52">
        <v>10.0</v>
      </c>
      <c r="BE33" s="52">
        <v>10000.0</v>
      </c>
      <c r="BF33" s="68" t="s">
        <v>370</v>
      </c>
      <c r="BG33" s="68" t="s">
        <v>371</v>
      </c>
      <c r="BH33" s="68" t="s">
        <v>413</v>
      </c>
      <c r="BI33" s="71" t="s">
        <v>373</v>
      </c>
    </row>
    <row r="34" ht="22.5" customHeight="1">
      <c r="A34" s="72" t="s">
        <v>461</v>
      </c>
      <c r="B34" s="69" t="s">
        <v>462</v>
      </c>
      <c r="C34" s="62" t="s">
        <v>50</v>
      </c>
      <c r="D34" s="62" t="s">
        <v>383</v>
      </c>
      <c r="E34" s="69" t="s">
        <v>463</v>
      </c>
      <c r="F34" s="69" t="s">
        <v>462</v>
      </c>
      <c r="G34" s="40">
        <v>130.0</v>
      </c>
      <c r="H34" s="40">
        <v>113943.885</v>
      </c>
      <c r="I34" s="40">
        <v>38.4533</v>
      </c>
      <c r="J34" s="40">
        <v>28.7653</v>
      </c>
      <c r="K34" s="40">
        <v>3.53</v>
      </c>
      <c r="L34" s="40">
        <v>556.8438</v>
      </c>
      <c r="M34" s="40">
        <v>0.0</v>
      </c>
      <c r="N34" s="40">
        <v>0.0</v>
      </c>
      <c r="O34" s="40">
        <v>211.42</v>
      </c>
      <c r="P34" s="40">
        <v>235.0988</v>
      </c>
      <c r="Q34" s="40">
        <v>141.4214</v>
      </c>
      <c r="R34" s="36">
        <v>2500.0</v>
      </c>
      <c r="S34" s="36">
        <v>150.0</v>
      </c>
      <c r="T34" s="36">
        <v>3000.0</v>
      </c>
      <c r="U34" s="36">
        <v>300.0</v>
      </c>
      <c r="V34" s="40">
        <v>1368.0</v>
      </c>
      <c r="W34" s="40">
        <v>18962.0</v>
      </c>
      <c r="X34" s="40">
        <v>0.0</v>
      </c>
      <c r="Y34" s="40">
        <v>13566.0</v>
      </c>
      <c r="Z34" s="40">
        <v>71.5431</v>
      </c>
      <c r="AA34" s="40">
        <v>5396.0</v>
      </c>
      <c r="AB34" s="37">
        <f t="shared" si="3"/>
        <v>0.2845691383</v>
      </c>
      <c r="AC34" s="40">
        <v>468.0</v>
      </c>
      <c r="AD34" s="37">
        <f t="shared" si="4"/>
        <v>0.02468094083</v>
      </c>
      <c r="AE34" s="40">
        <v>0.0</v>
      </c>
      <c r="AF34" s="40">
        <v>0.0</v>
      </c>
      <c r="AG34" s="40">
        <v>5507.060331188693</v>
      </c>
      <c r="AH34" s="40">
        <v>22000.30000000001</v>
      </c>
      <c r="AI34" s="40">
        <v>60416.0</v>
      </c>
      <c r="AJ34" s="40">
        <v>5749.101736459661</v>
      </c>
      <c r="AK34" s="40">
        <v>62233.638806</v>
      </c>
      <c r="AL34" s="41">
        <v>3.0</v>
      </c>
      <c r="AM34" s="40">
        <v>240.0</v>
      </c>
      <c r="AN34" s="40">
        <v>80.0</v>
      </c>
      <c r="AO34" s="40">
        <v>2.4522</v>
      </c>
      <c r="AP34" s="40">
        <v>2452.2</v>
      </c>
      <c r="AQ34" s="40">
        <v>1348.8008</v>
      </c>
      <c r="AR34" s="40">
        <v>88.5</v>
      </c>
      <c r="AS34" s="42">
        <v>34.5</v>
      </c>
      <c r="AT34" s="40">
        <v>3065.0</v>
      </c>
      <c r="AU34" s="40">
        <v>1686.0</v>
      </c>
      <c r="AV34" s="40">
        <v>1594.0</v>
      </c>
      <c r="AW34" s="40">
        <v>877.0</v>
      </c>
      <c r="AX34" s="64"/>
      <c r="AY34" s="66" t="s">
        <v>464</v>
      </c>
      <c r="AZ34" s="64"/>
      <c r="BA34" s="64"/>
      <c r="BB34" s="62" t="s">
        <v>430</v>
      </c>
      <c r="BC34" s="40">
        <v>10.0</v>
      </c>
      <c r="BD34" s="40">
        <v>10.0</v>
      </c>
      <c r="BE34" s="40">
        <v>10000.0</v>
      </c>
      <c r="BF34" s="69" t="s">
        <v>370</v>
      </c>
      <c r="BG34" s="69" t="s">
        <v>371</v>
      </c>
      <c r="BH34" s="69" t="s">
        <v>465</v>
      </c>
      <c r="BI34" s="70" t="s">
        <v>373</v>
      </c>
    </row>
    <row r="35" ht="22.5" customHeight="1">
      <c r="A35" s="73" t="s">
        <v>466</v>
      </c>
      <c r="B35" s="68" t="s">
        <v>467</v>
      </c>
      <c r="C35" s="58" t="s">
        <v>50</v>
      </c>
      <c r="D35" s="58" t="s">
        <v>391</v>
      </c>
      <c r="E35" s="68" t="s">
        <v>468</v>
      </c>
      <c r="F35" s="68" t="s">
        <v>467</v>
      </c>
      <c r="G35" s="52">
        <v>130.0</v>
      </c>
      <c r="H35" s="52">
        <v>124916.9765</v>
      </c>
      <c r="I35" s="52">
        <v>34.7805</v>
      </c>
      <c r="J35" s="52">
        <v>20.3699</v>
      </c>
      <c r="K35" s="52">
        <v>4.375</v>
      </c>
      <c r="L35" s="52">
        <v>552.8281</v>
      </c>
      <c r="M35" s="52">
        <v>0.0</v>
      </c>
      <c r="N35" s="52">
        <v>0.0</v>
      </c>
      <c r="O35" s="52">
        <v>203.78</v>
      </c>
      <c r="P35" s="52">
        <v>232.6605</v>
      </c>
      <c r="Q35" s="52">
        <v>141.4214</v>
      </c>
      <c r="R35" s="49">
        <v>2500.0</v>
      </c>
      <c r="S35" s="49">
        <v>150.0</v>
      </c>
      <c r="T35" s="49">
        <v>3000.0</v>
      </c>
      <c r="U35" s="49">
        <v>300.0</v>
      </c>
      <c r="V35" s="52">
        <v>1087.0</v>
      </c>
      <c r="W35" s="52">
        <v>18248.0</v>
      </c>
      <c r="X35" s="52">
        <v>0.0</v>
      </c>
      <c r="Y35" s="52">
        <v>14876.0</v>
      </c>
      <c r="Z35" s="52">
        <v>81.5213</v>
      </c>
      <c r="AA35" s="52">
        <v>3372.0</v>
      </c>
      <c r="AB35" s="51">
        <f t="shared" si="3"/>
        <v>0.184787374</v>
      </c>
      <c r="AC35" s="52">
        <v>1.0</v>
      </c>
      <c r="AD35" s="51">
        <f t="shared" si="4"/>
        <v>0.00005480052609</v>
      </c>
      <c r="AE35" s="52">
        <v>0.0</v>
      </c>
      <c r="AF35" s="52">
        <v>0.0</v>
      </c>
      <c r="AG35" s="52">
        <v>3202.110477860587</v>
      </c>
      <c r="AH35" s="52">
        <v>13296.0</v>
      </c>
      <c r="AI35" s="52">
        <v>60028.0</v>
      </c>
      <c r="AJ35" s="52">
        <v>3496.905328489427</v>
      </c>
      <c r="AK35" s="52">
        <v>60040.577316</v>
      </c>
      <c r="AL35" s="53">
        <v>3.0</v>
      </c>
      <c r="AM35" s="52">
        <v>291.0</v>
      </c>
      <c r="AN35" s="52">
        <v>97.0</v>
      </c>
      <c r="AO35" s="52">
        <v>2.4413</v>
      </c>
      <c r="AP35" s="52">
        <v>2441.3</v>
      </c>
      <c r="AQ35" s="52">
        <v>1434.1562</v>
      </c>
      <c r="AR35" s="52">
        <v>91.5</v>
      </c>
      <c r="AS35" s="54">
        <v>34.9</v>
      </c>
      <c r="AT35" s="52">
        <v>3052.0</v>
      </c>
      <c r="AU35" s="52">
        <v>1793.0</v>
      </c>
      <c r="AV35" s="52">
        <v>1587.0</v>
      </c>
      <c r="AW35" s="52">
        <v>932.0</v>
      </c>
      <c r="AX35" s="59"/>
      <c r="AY35" s="60" t="s">
        <v>469</v>
      </c>
      <c r="AZ35" s="59"/>
      <c r="BA35" s="59"/>
      <c r="BB35" s="58" t="s">
        <v>435</v>
      </c>
      <c r="BC35" s="52">
        <v>10.0</v>
      </c>
      <c r="BD35" s="52">
        <v>10.0</v>
      </c>
      <c r="BE35" s="52">
        <v>10000.0</v>
      </c>
      <c r="BF35" s="68" t="s">
        <v>370</v>
      </c>
      <c r="BG35" s="68" t="s">
        <v>371</v>
      </c>
      <c r="BH35" s="68" t="s">
        <v>465</v>
      </c>
      <c r="BI35" s="71" t="s">
        <v>373</v>
      </c>
    </row>
    <row r="36" ht="22.5" customHeight="1">
      <c r="A36" s="72" t="s">
        <v>470</v>
      </c>
      <c r="B36" s="69" t="s">
        <v>471</v>
      </c>
      <c r="C36" s="62" t="s">
        <v>50</v>
      </c>
      <c r="D36" s="62" t="s">
        <v>404</v>
      </c>
      <c r="E36" s="69" t="s">
        <v>472</v>
      </c>
      <c r="F36" s="69" t="s">
        <v>471</v>
      </c>
      <c r="G36" s="40">
        <v>160.0</v>
      </c>
      <c r="H36" s="40">
        <v>65820.2587</v>
      </c>
      <c r="I36" s="40">
        <v>50.4621</v>
      </c>
      <c r="J36" s="40">
        <v>34.0656</v>
      </c>
      <c r="K36" s="40">
        <v>4.4025</v>
      </c>
      <c r="L36" s="40">
        <v>560.8828</v>
      </c>
      <c r="M36" s="40">
        <v>0.0</v>
      </c>
      <c r="N36" s="40">
        <v>0.0</v>
      </c>
      <c r="O36" s="40">
        <v>195.2322</v>
      </c>
      <c r="P36" s="40">
        <v>205.496</v>
      </c>
      <c r="Q36" s="40">
        <v>135.2566</v>
      </c>
      <c r="R36" s="36">
        <v>2500.0</v>
      </c>
      <c r="S36" s="36">
        <v>150.0</v>
      </c>
      <c r="T36" s="36">
        <v>3000.0</v>
      </c>
      <c r="U36" s="36">
        <v>300.0</v>
      </c>
      <c r="V36" s="40">
        <v>1500.0</v>
      </c>
      <c r="W36" s="40">
        <v>21564.0</v>
      </c>
      <c r="X36" s="40">
        <v>0.0</v>
      </c>
      <c r="Y36" s="40">
        <v>7948.0</v>
      </c>
      <c r="Z36" s="40">
        <v>36.8577</v>
      </c>
      <c r="AA36" s="40">
        <v>13616.0</v>
      </c>
      <c r="AB36" s="37">
        <f t="shared" si="3"/>
        <v>0.6314227416</v>
      </c>
      <c r="AC36" s="40">
        <v>924.0</v>
      </c>
      <c r="AD36" s="37">
        <f t="shared" si="4"/>
        <v>0.0428491931</v>
      </c>
      <c r="AE36" s="40">
        <v>0.0</v>
      </c>
      <c r="AF36" s="40">
        <v>0.0</v>
      </c>
      <c r="AG36" s="40">
        <v>10418.84001112966</v>
      </c>
      <c r="AH36" s="40">
        <v>29819.59999999998</v>
      </c>
      <c r="AI36" s="40">
        <v>61479.0</v>
      </c>
      <c r="AJ36" s="40">
        <v>11830.99135245362</v>
      </c>
      <c r="AK36" s="40">
        <v>71065.983523</v>
      </c>
      <c r="AL36" s="41">
        <v>3.0</v>
      </c>
      <c r="AM36" s="40">
        <v>645.0</v>
      </c>
      <c r="AN36" s="40">
        <v>215.0</v>
      </c>
      <c r="AO36" s="40">
        <v>2.4619</v>
      </c>
      <c r="AP36" s="40">
        <v>2461.9</v>
      </c>
      <c r="AQ36" s="40">
        <v>1477.8867</v>
      </c>
      <c r="AR36" s="40">
        <v>87.1</v>
      </c>
      <c r="AS36" s="42">
        <v>35.0</v>
      </c>
      <c r="AT36" s="40">
        <v>3077.0</v>
      </c>
      <c r="AU36" s="40">
        <v>1847.0</v>
      </c>
      <c r="AV36" s="40">
        <v>1600.0</v>
      </c>
      <c r="AW36" s="40">
        <v>961.0</v>
      </c>
      <c r="AX36" s="62" t="s">
        <v>473</v>
      </c>
      <c r="AY36" s="66" t="s">
        <v>474</v>
      </c>
      <c r="AZ36" s="64"/>
      <c r="BA36" s="64"/>
      <c r="BB36" s="62" t="s">
        <v>460</v>
      </c>
      <c r="BC36" s="40">
        <v>10.0</v>
      </c>
      <c r="BD36" s="40">
        <v>10.0</v>
      </c>
      <c r="BE36" s="40">
        <v>10000.0</v>
      </c>
      <c r="BF36" s="69" t="s">
        <v>370</v>
      </c>
      <c r="BG36" s="69" t="s">
        <v>371</v>
      </c>
      <c r="BH36" s="69" t="s">
        <v>465</v>
      </c>
      <c r="BI36" s="70" t="s">
        <v>373</v>
      </c>
    </row>
    <row r="37" ht="22.5" customHeight="1">
      <c r="A37" s="73" t="s">
        <v>475</v>
      </c>
      <c r="B37" s="68" t="s">
        <v>476</v>
      </c>
      <c r="C37" s="58" t="s">
        <v>50</v>
      </c>
      <c r="D37" s="58" t="s">
        <v>383</v>
      </c>
      <c r="E37" s="68" t="s">
        <v>477</v>
      </c>
      <c r="F37" s="68" t="s">
        <v>476</v>
      </c>
      <c r="G37" s="52">
        <v>130.0</v>
      </c>
      <c r="H37" s="52">
        <v>167272.6829</v>
      </c>
      <c r="I37" s="52">
        <v>20.8904</v>
      </c>
      <c r="J37" s="52">
        <v>3.2966</v>
      </c>
      <c r="K37" s="52">
        <v>4.8212</v>
      </c>
      <c r="L37" s="52">
        <v>271.5664</v>
      </c>
      <c r="M37" s="52">
        <v>0.0</v>
      </c>
      <c r="N37" s="52">
        <v>0.0</v>
      </c>
      <c r="O37" s="52">
        <v>176.7635</v>
      </c>
      <c r="P37" s="52">
        <v>177.3169</v>
      </c>
      <c r="Q37" s="52">
        <v>219.013</v>
      </c>
      <c r="R37" s="49">
        <v>2500.0</v>
      </c>
      <c r="S37" s="49">
        <v>150.0</v>
      </c>
      <c r="T37" s="49">
        <v>3000.0</v>
      </c>
      <c r="U37" s="49">
        <v>300.0</v>
      </c>
      <c r="V37" s="52">
        <v>400.0</v>
      </c>
      <c r="W37" s="52">
        <v>20399.0</v>
      </c>
      <c r="X37" s="52">
        <v>0.0</v>
      </c>
      <c r="Y37" s="52">
        <v>20399.0</v>
      </c>
      <c r="Z37" s="52">
        <v>100.0</v>
      </c>
      <c r="AA37" s="52">
        <v>0.0</v>
      </c>
      <c r="AB37" s="51">
        <f t="shared" si="3"/>
        <v>0</v>
      </c>
      <c r="AC37" s="52">
        <v>0.0</v>
      </c>
      <c r="AD37" s="51">
        <f t="shared" si="4"/>
        <v>0</v>
      </c>
      <c r="AE37" s="52">
        <v>0.0</v>
      </c>
      <c r="AF37" s="52">
        <v>0.0</v>
      </c>
      <c r="AG37" s="52">
        <v>323.0212265307123</v>
      </c>
      <c r="AH37" s="52">
        <v>726.0</v>
      </c>
      <c r="AI37" s="52">
        <v>8173.0</v>
      </c>
      <c r="AJ37" s="52">
        <v>428.0914825837044</v>
      </c>
      <c r="AK37" s="52">
        <v>8248.636318</v>
      </c>
      <c r="AL37" s="53">
        <v>6.0</v>
      </c>
      <c r="AM37" s="52">
        <v>154.0</v>
      </c>
      <c r="AN37" s="52">
        <v>25.67</v>
      </c>
      <c r="AO37" s="52">
        <v>2.1907</v>
      </c>
      <c r="AP37" s="52">
        <v>2190.7</v>
      </c>
      <c r="AQ37" s="52">
        <v>1222.2617</v>
      </c>
      <c r="AR37" s="52">
        <v>90.5</v>
      </c>
      <c r="AS37" s="54">
        <v>30.5</v>
      </c>
      <c r="AT37" s="52">
        <v>2738.0</v>
      </c>
      <c r="AU37" s="52">
        <v>1528.0</v>
      </c>
      <c r="AV37" s="52">
        <v>1424.0</v>
      </c>
      <c r="AW37" s="52">
        <v>794.0</v>
      </c>
      <c r="AX37" s="59"/>
      <c r="AY37" s="60" t="s">
        <v>478</v>
      </c>
      <c r="AZ37" s="59"/>
      <c r="BA37" s="59"/>
      <c r="BB37" s="58" t="s">
        <v>430</v>
      </c>
      <c r="BC37" s="52">
        <v>10.0</v>
      </c>
      <c r="BD37" s="52">
        <v>10.0</v>
      </c>
      <c r="BE37" s="52">
        <v>10000.0</v>
      </c>
      <c r="BF37" s="68" t="s">
        <v>370</v>
      </c>
      <c r="BG37" s="68" t="s">
        <v>371</v>
      </c>
      <c r="BH37" s="68" t="s">
        <v>465</v>
      </c>
      <c r="BI37" s="71" t="s">
        <v>373</v>
      </c>
    </row>
    <row r="38" ht="22.5" customHeight="1">
      <c r="A38" s="72" t="s">
        <v>479</v>
      </c>
      <c r="B38" s="69" t="s">
        <v>480</v>
      </c>
      <c r="C38" s="62" t="s">
        <v>50</v>
      </c>
      <c r="D38" s="62" t="s">
        <v>391</v>
      </c>
      <c r="E38" s="69" t="s">
        <v>481</v>
      </c>
      <c r="F38" s="69" t="s">
        <v>480</v>
      </c>
      <c r="G38" s="40">
        <v>130.0</v>
      </c>
      <c r="H38" s="40">
        <v>160393.4446</v>
      </c>
      <c r="I38" s="40">
        <v>8.3421</v>
      </c>
      <c r="J38" s="40">
        <v>2.6827</v>
      </c>
      <c r="K38" s="40">
        <v>3.6137</v>
      </c>
      <c r="L38" s="40">
        <v>116.2148</v>
      </c>
      <c r="M38" s="40">
        <v>0.0</v>
      </c>
      <c r="N38" s="40">
        <v>0.0</v>
      </c>
      <c r="O38" s="40">
        <v>155.4404</v>
      </c>
      <c r="P38" s="40">
        <v>168.4231</v>
      </c>
      <c r="Q38" s="40">
        <v>96.057</v>
      </c>
      <c r="R38" s="36">
        <v>2500.0</v>
      </c>
      <c r="S38" s="36">
        <v>150.0</v>
      </c>
      <c r="T38" s="36">
        <v>3000.0</v>
      </c>
      <c r="U38" s="36">
        <v>300.0</v>
      </c>
      <c r="V38" s="40">
        <v>400.0</v>
      </c>
      <c r="W38" s="40">
        <v>19498.0</v>
      </c>
      <c r="X38" s="40">
        <v>0.0</v>
      </c>
      <c r="Y38" s="40">
        <v>19496.0</v>
      </c>
      <c r="Z38" s="40">
        <v>99.9897</v>
      </c>
      <c r="AA38" s="40">
        <v>2.0</v>
      </c>
      <c r="AB38" s="37">
        <f t="shared" si="3"/>
        <v>0.000102574623</v>
      </c>
      <c r="AC38" s="40">
        <v>0.0</v>
      </c>
      <c r="AD38" s="37">
        <f t="shared" si="4"/>
        <v>0</v>
      </c>
      <c r="AE38" s="40">
        <v>0.0</v>
      </c>
      <c r="AF38" s="40">
        <v>0.0</v>
      </c>
      <c r="AG38" s="40">
        <v>303.5989332239204</v>
      </c>
      <c r="AH38" s="40">
        <v>657.0</v>
      </c>
      <c r="AI38" s="40">
        <v>11230.0</v>
      </c>
      <c r="AJ38" s="40">
        <v>392.2935121157545</v>
      </c>
      <c r="AK38" s="40">
        <v>11347.77588</v>
      </c>
      <c r="AL38" s="41">
        <v>6.0</v>
      </c>
      <c r="AM38" s="40">
        <v>161.0</v>
      </c>
      <c r="AN38" s="40">
        <v>26.83</v>
      </c>
      <c r="AO38" s="40">
        <v>2.1561</v>
      </c>
      <c r="AP38" s="40">
        <v>2156.1</v>
      </c>
      <c r="AQ38" s="40">
        <v>1032.375</v>
      </c>
      <c r="AR38" s="40">
        <v>85.6</v>
      </c>
      <c r="AS38" s="42">
        <v>31.4</v>
      </c>
      <c r="AT38" s="40">
        <v>2695.0</v>
      </c>
      <c r="AU38" s="40">
        <v>1290.0</v>
      </c>
      <c r="AV38" s="40">
        <v>1401.0</v>
      </c>
      <c r="AW38" s="40">
        <v>671.0</v>
      </c>
      <c r="AX38" s="64"/>
      <c r="AY38" s="66" t="s">
        <v>482</v>
      </c>
      <c r="AZ38" s="64"/>
      <c r="BA38" s="64"/>
      <c r="BB38" s="62" t="s">
        <v>435</v>
      </c>
      <c r="BC38" s="40">
        <v>10.0</v>
      </c>
      <c r="BD38" s="40">
        <v>10.0</v>
      </c>
      <c r="BE38" s="40">
        <v>10000.0</v>
      </c>
      <c r="BF38" s="69" t="s">
        <v>370</v>
      </c>
      <c r="BG38" s="69" t="s">
        <v>371</v>
      </c>
      <c r="BH38" s="69" t="s">
        <v>465</v>
      </c>
      <c r="BI38" s="70" t="s">
        <v>373</v>
      </c>
    </row>
    <row r="39" ht="22.5" customHeight="1">
      <c r="A39" s="73" t="s">
        <v>483</v>
      </c>
      <c r="B39" s="68" t="s">
        <v>484</v>
      </c>
      <c r="C39" s="58" t="s">
        <v>50</v>
      </c>
      <c r="D39" s="58" t="s">
        <v>398</v>
      </c>
      <c r="E39" s="68" t="s">
        <v>485</v>
      </c>
      <c r="F39" s="68" t="s">
        <v>484</v>
      </c>
      <c r="G39" s="52">
        <v>100.0</v>
      </c>
      <c r="H39" s="52">
        <v>483698.3817</v>
      </c>
      <c r="I39" s="52">
        <v>10.7274</v>
      </c>
      <c r="J39" s="52">
        <v>2.2925</v>
      </c>
      <c r="K39" s="52">
        <v>4.7112</v>
      </c>
      <c r="L39" s="52">
        <v>293.9961</v>
      </c>
      <c r="M39" s="52">
        <v>0.0</v>
      </c>
      <c r="N39" s="52">
        <v>0.0</v>
      </c>
      <c r="O39" s="52">
        <v>175.2252</v>
      </c>
      <c r="P39" s="52">
        <v>180.51</v>
      </c>
      <c r="Q39" s="52">
        <v>223.6068</v>
      </c>
      <c r="R39" s="49">
        <v>2500.0</v>
      </c>
      <c r="S39" s="49">
        <v>150.0</v>
      </c>
      <c r="T39" s="49">
        <v>3000.0</v>
      </c>
      <c r="U39" s="49">
        <v>300.0</v>
      </c>
      <c r="V39" s="52">
        <v>400.0</v>
      </c>
      <c r="W39" s="52">
        <v>59999.0</v>
      </c>
      <c r="X39" s="52">
        <v>0.0</v>
      </c>
      <c r="Y39" s="52">
        <v>59992.0</v>
      </c>
      <c r="Z39" s="52">
        <v>99.9883</v>
      </c>
      <c r="AA39" s="52">
        <v>7.0</v>
      </c>
      <c r="AB39" s="51">
        <f t="shared" si="3"/>
        <v>0.0001166686111</v>
      </c>
      <c r="AC39" s="52">
        <v>0.0</v>
      </c>
      <c r="AD39" s="51">
        <f t="shared" si="4"/>
        <v>0</v>
      </c>
      <c r="AE39" s="52">
        <v>0.0</v>
      </c>
      <c r="AF39" s="52">
        <v>0.0</v>
      </c>
      <c r="AG39" s="52">
        <v>191.9843997399957</v>
      </c>
      <c r="AH39" s="52">
        <v>343.0</v>
      </c>
      <c r="AI39" s="52">
        <v>11298.0</v>
      </c>
      <c r="AJ39" s="52">
        <v>252.1405230801483</v>
      </c>
      <c r="AK39" s="52">
        <v>11413.581573</v>
      </c>
      <c r="AL39" s="53">
        <v>3.0</v>
      </c>
      <c r="AM39" s="52">
        <v>113.0</v>
      </c>
      <c r="AN39" s="52">
        <v>37.67</v>
      </c>
      <c r="AO39" s="52">
        <v>2.2872</v>
      </c>
      <c r="AP39" s="52">
        <v>2287.2</v>
      </c>
      <c r="AQ39" s="52">
        <v>1229.4062</v>
      </c>
      <c r="AR39" s="52">
        <v>86.4</v>
      </c>
      <c r="AS39" s="54">
        <v>32.4</v>
      </c>
      <c r="AT39" s="52">
        <v>2859.0</v>
      </c>
      <c r="AU39" s="52">
        <v>1537.0</v>
      </c>
      <c r="AV39" s="52">
        <v>1487.0</v>
      </c>
      <c r="AW39" s="52">
        <v>799.0</v>
      </c>
      <c r="AX39" s="59"/>
      <c r="AY39" s="60" t="s">
        <v>486</v>
      </c>
      <c r="AZ39" s="59"/>
      <c r="BA39" s="59"/>
      <c r="BB39" s="58" t="s">
        <v>440</v>
      </c>
      <c r="BC39" s="52">
        <v>10.0</v>
      </c>
      <c r="BD39" s="52">
        <v>10.0</v>
      </c>
      <c r="BE39" s="52">
        <v>10000.0</v>
      </c>
      <c r="BF39" s="68" t="s">
        <v>370</v>
      </c>
      <c r="BG39" s="68" t="s">
        <v>371</v>
      </c>
      <c r="BH39" s="68" t="s">
        <v>465</v>
      </c>
      <c r="BI39" s="71" t="s">
        <v>373</v>
      </c>
    </row>
    <row r="40" ht="22.5" customHeight="1">
      <c r="A40" s="72" t="s">
        <v>487</v>
      </c>
      <c r="B40" s="69" t="s">
        <v>488</v>
      </c>
      <c r="C40" s="62" t="s">
        <v>50</v>
      </c>
      <c r="D40" s="62" t="s">
        <v>404</v>
      </c>
      <c r="E40" s="69" t="s">
        <v>489</v>
      </c>
      <c r="F40" s="69" t="s">
        <v>488</v>
      </c>
      <c r="G40" s="40">
        <v>160.0</v>
      </c>
      <c r="H40" s="40">
        <v>212971.8857</v>
      </c>
      <c r="I40" s="40">
        <v>24.3574</v>
      </c>
      <c r="J40" s="40">
        <v>3.5105</v>
      </c>
      <c r="K40" s="40">
        <v>6.2263</v>
      </c>
      <c r="L40" s="40">
        <v>271.5664</v>
      </c>
      <c r="M40" s="40">
        <v>0.0</v>
      </c>
      <c r="N40" s="40">
        <v>0.0</v>
      </c>
      <c r="O40" s="40">
        <v>169.6332</v>
      </c>
      <c r="P40" s="40">
        <v>177.106</v>
      </c>
      <c r="Q40" s="40">
        <v>34.6422</v>
      </c>
      <c r="R40" s="36">
        <v>2500.0</v>
      </c>
      <c r="S40" s="36">
        <v>150.0</v>
      </c>
      <c r="T40" s="36">
        <v>3000.0</v>
      </c>
      <c r="U40" s="36">
        <v>300.0</v>
      </c>
      <c r="V40" s="40">
        <v>454.0</v>
      </c>
      <c r="W40" s="40">
        <v>25969.0</v>
      </c>
      <c r="X40" s="40">
        <v>0.0</v>
      </c>
      <c r="Y40" s="40">
        <v>25925.0</v>
      </c>
      <c r="Z40" s="40">
        <v>99.8306</v>
      </c>
      <c r="AA40" s="40">
        <v>44.0</v>
      </c>
      <c r="AB40" s="37">
        <f t="shared" si="3"/>
        <v>0.001694327852</v>
      </c>
      <c r="AC40" s="40">
        <v>0.0</v>
      </c>
      <c r="AD40" s="37">
        <f t="shared" si="4"/>
        <v>0</v>
      </c>
      <c r="AE40" s="40">
        <v>0.0</v>
      </c>
      <c r="AF40" s="40">
        <v>0.0</v>
      </c>
      <c r="AG40" s="40">
        <v>946.2333936616735</v>
      </c>
      <c r="AH40" s="40">
        <v>2513.799999999996</v>
      </c>
      <c r="AI40" s="40">
        <v>11670.0</v>
      </c>
      <c r="AJ40" s="40">
        <v>1583.12096045382</v>
      </c>
      <c r="AK40" s="40">
        <v>12376.336138</v>
      </c>
      <c r="AL40" s="41">
        <v>6.0</v>
      </c>
      <c r="AM40" s="40">
        <v>248.0</v>
      </c>
      <c r="AN40" s="40">
        <v>41.33</v>
      </c>
      <c r="AO40" s="40">
        <v>2.2872</v>
      </c>
      <c r="AP40" s="40">
        <v>2287.2</v>
      </c>
      <c r="AQ40" s="40">
        <v>1222.2617</v>
      </c>
      <c r="AR40" s="40">
        <v>93.1</v>
      </c>
      <c r="AS40" s="42">
        <v>29.9</v>
      </c>
      <c r="AT40" s="40">
        <v>2859.0</v>
      </c>
      <c r="AU40" s="40">
        <v>1528.0</v>
      </c>
      <c r="AV40" s="40">
        <v>1487.0</v>
      </c>
      <c r="AW40" s="40">
        <v>794.0</v>
      </c>
      <c r="AX40" s="64"/>
      <c r="AY40" s="66" t="s">
        <v>490</v>
      </c>
      <c r="AZ40" s="64"/>
      <c r="BA40" s="64"/>
      <c r="BB40" s="62" t="s">
        <v>460</v>
      </c>
      <c r="BC40" s="40">
        <v>10.0</v>
      </c>
      <c r="BD40" s="40">
        <v>10.0</v>
      </c>
      <c r="BE40" s="40">
        <v>10000.0</v>
      </c>
      <c r="BF40" s="69" t="s">
        <v>370</v>
      </c>
      <c r="BG40" s="69" t="s">
        <v>371</v>
      </c>
      <c r="BH40" s="69" t="s">
        <v>465</v>
      </c>
      <c r="BI40" s="70" t="s">
        <v>373</v>
      </c>
    </row>
    <row r="41" ht="22.5" customHeight="1">
      <c r="A41" s="73" t="s">
        <v>491</v>
      </c>
      <c r="B41" s="68" t="s">
        <v>492</v>
      </c>
      <c r="C41" s="58" t="s">
        <v>50</v>
      </c>
      <c r="D41" s="58" t="s">
        <v>383</v>
      </c>
      <c r="E41" s="68" t="s">
        <v>493</v>
      </c>
      <c r="F41" s="68" t="s">
        <v>492</v>
      </c>
      <c r="G41" s="52">
        <v>130.0</v>
      </c>
      <c r="H41" s="52">
        <v>164998.1782</v>
      </c>
      <c r="I41" s="52">
        <v>0.5419</v>
      </c>
      <c r="J41" s="52">
        <v>0.097</v>
      </c>
      <c r="K41" s="52">
        <v>5.6238</v>
      </c>
      <c r="L41" s="52">
        <v>894.4531</v>
      </c>
      <c r="M41" s="52">
        <v>0.0</v>
      </c>
      <c r="N41" s="52">
        <v>0.0</v>
      </c>
      <c r="O41" s="52">
        <v>103.66</v>
      </c>
      <c r="P41" s="52">
        <v>109.764</v>
      </c>
      <c r="Q41" s="52">
        <v>100.9151</v>
      </c>
      <c r="R41" s="49">
        <v>2500.0</v>
      </c>
      <c r="S41" s="49">
        <v>150.0</v>
      </c>
      <c r="T41" s="49">
        <v>3000.0</v>
      </c>
      <c r="U41" s="49">
        <v>300.0</v>
      </c>
      <c r="V41" s="52">
        <v>404.0</v>
      </c>
      <c r="W41" s="52">
        <v>20362.0</v>
      </c>
      <c r="X41" s="52">
        <v>0.0</v>
      </c>
      <c r="Y41" s="52">
        <v>20360.0</v>
      </c>
      <c r="Z41" s="52">
        <v>99.9902</v>
      </c>
      <c r="AA41" s="52">
        <v>2.0</v>
      </c>
      <c r="AB41" s="51">
        <f t="shared" si="3"/>
        <v>0.00009822217857</v>
      </c>
      <c r="AC41" s="52">
        <v>0.0</v>
      </c>
      <c r="AD41" s="51">
        <f t="shared" si="4"/>
        <v>0</v>
      </c>
      <c r="AE41" s="52">
        <v>0.0</v>
      </c>
      <c r="AF41" s="52">
        <v>0.0</v>
      </c>
      <c r="AG41" s="52">
        <v>504.8655829486298</v>
      </c>
      <c r="AH41" s="52">
        <v>1604.950000000001</v>
      </c>
      <c r="AI41" s="52">
        <v>11446.0</v>
      </c>
      <c r="AJ41" s="52">
        <v>683.7450694326691</v>
      </c>
      <c r="AK41" s="52">
        <v>11947.973056</v>
      </c>
      <c r="AL41" s="53">
        <v>9.0</v>
      </c>
      <c r="AM41" s="52">
        <v>182.0</v>
      </c>
      <c r="AN41" s="52">
        <v>20.22</v>
      </c>
      <c r="AO41" s="52">
        <v>1.6748</v>
      </c>
      <c r="AP41" s="52">
        <v>1674.8</v>
      </c>
      <c r="AQ41" s="52">
        <v>1517.4844</v>
      </c>
      <c r="AR41" s="52">
        <v>93.3</v>
      </c>
      <c r="AS41" s="54">
        <v>25.8</v>
      </c>
      <c r="AT41" s="52">
        <v>2094.0</v>
      </c>
      <c r="AU41" s="52">
        <v>1897.0</v>
      </c>
      <c r="AV41" s="52">
        <v>1089.0</v>
      </c>
      <c r="AW41" s="52">
        <v>986.0</v>
      </c>
      <c r="AX41" s="59"/>
      <c r="AY41" s="60" t="s">
        <v>494</v>
      </c>
      <c r="AZ41" s="59"/>
      <c r="BA41" s="59"/>
      <c r="BB41" s="58" t="s">
        <v>430</v>
      </c>
      <c r="BC41" s="52">
        <v>10.0</v>
      </c>
      <c r="BD41" s="52">
        <v>10.0</v>
      </c>
      <c r="BE41" s="52">
        <v>10000.0</v>
      </c>
      <c r="BF41" s="68" t="s">
        <v>370</v>
      </c>
      <c r="BG41" s="68" t="s">
        <v>371</v>
      </c>
      <c r="BH41" s="68" t="s">
        <v>465</v>
      </c>
      <c r="BI41" s="71" t="s">
        <v>373</v>
      </c>
    </row>
    <row r="42" ht="22.5" customHeight="1">
      <c r="A42" s="72" t="s">
        <v>495</v>
      </c>
      <c r="B42" s="69" t="s">
        <v>496</v>
      </c>
      <c r="C42" s="62" t="s">
        <v>50</v>
      </c>
      <c r="D42" s="62" t="s">
        <v>398</v>
      </c>
      <c r="E42" s="69" t="s">
        <v>497</v>
      </c>
      <c r="F42" s="69" t="s">
        <v>496</v>
      </c>
      <c r="G42" s="40">
        <v>100.0</v>
      </c>
      <c r="H42" s="40">
        <v>483663.2716</v>
      </c>
      <c r="I42" s="40">
        <v>0.8422</v>
      </c>
      <c r="J42" s="40">
        <v>0.1143</v>
      </c>
      <c r="K42" s="40">
        <v>5.6238</v>
      </c>
      <c r="L42" s="40">
        <v>891.082</v>
      </c>
      <c r="M42" s="40">
        <v>0.0</v>
      </c>
      <c r="N42" s="40">
        <v>0.0</v>
      </c>
      <c r="O42" s="40">
        <v>103.6683</v>
      </c>
      <c r="P42" s="40">
        <v>109.764</v>
      </c>
      <c r="Q42" s="40">
        <v>100.9151</v>
      </c>
      <c r="R42" s="36">
        <v>2500.0</v>
      </c>
      <c r="S42" s="36">
        <v>150.0</v>
      </c>
      <c r="T42" s="36">
        <v>3000.0</v>
      </c>
      <c r="U42" s="36">
        <v>300.0</v>
      </c>
      <c r="V42" s="40">
        <v>400.0</v>
      </c>
      <c r="W42" s="40">
        <v>59999.0</v>
      </c>
      <c r="X42" s="40">
        <v>0.0</v>
      </c>
      <c r="Y42" s="40">
        <v>59993.0</v>
      </c>
      <c r="Z42" s="40">
        <v>99.99</v>
      </c>
      <c r="AA42" s="40">
        <v>6.0</v>
      </c>
      <c r="AB42" s="37">
        <f t="shared" si="3"/>
        <v>0.0001000016667</v>
      </c>
      <c r="AC42" s="40">
        <v>0.0</v>
      </c>
      <c r="AD42" s="37">
        <f t="shared" si="4"/>
        <v>0</v>
      </c>
      <c r="AE42" s="40">
        <v>0.0</v>
      </c>
      <c r="AF42" s="40">
        <v>0.0</v>
      </c>
      <c r="AG42" s="40">
        <v>217.7237953965899</v>
      </c>
      <c r="AH42" s="40">
        <v>419.0</v>
      </c>
      <c r="AI42" s="40">
        <v>11278.0</v>
      </c>
      <c r="AJ42" s="40">
        <v>280.3212720573667</v>
      </c>
      <c r="AK42" s="40">
        <v>11369.798272</v>
      </c>
      <c r="AL42" s="41">
        <v>9.0</v>
      </c>
      <c r="AM42" s="40">
        <v>131.0</v>
      </c>
      <c r="AN42" s="40">
        <v>14.56</v>
      </c>
      <c r="AO42" s="40">
        <v>1.6748</v>
      </c>
      <c r="AP42" s="40">
        <v>1674.8</v>
      </c>
      <c r="AQ42" s="40">
        <v>1507.332</v>
      </c>
      <c r="AR42" s="40">
        <v>87.2</v>
      </c>
      <c r="AS42" s="42">
        <v>31.1</v>
      </c>
      <c r="AT42" s="40">
        <v>2094.0</v>
      </c>
      <c r="AU42" s="40">
        <v>1884.0</v>
      </c>
      <c r="AV42" s="40">
        <v>1089.0</v>
      </c>
      <c r="AW42" s="40">
        <v>980.0</v>
      </c>
      <c r="AX42" s="64"/>
      <c r="AY42" s="66" t="s">
        <v>498</v>
      </c>
      <c r="AZ42" s="64"/>
      <c r="BA42" s="64"/>
      <c r="BB42" s="62" t="s">
        <v>440</v>
      </c>
      <c r="BC42" s="40">
        <v>10.0</v>
      </c>
      <c r="BD42" s="40">
        <v>10.0</v>
      </c>
      <c r="BE42" s="40">
        <v>10000.0</v>
      </c>
      <c r="BF42" s="69" t="s">
        <v>370</v>
      </c>
      <c r="BG42" s="69" t="s">
        <v>371</v>
      </c>
      <c r="BH42" s="69" t="s">
        <v>465</v>
      </c>
      <c r="BI42" s="70" t="s">
        <v>373</v>
      </c>
    </row>
    <row r="43" ht="22.5" customHeight="1">
      <c r="A43" s="73" t="s">
        <v>499</v>
      </c>
      <c r="B43" s="68" t="s">
        <v>500</v>
      </c>
      <c r="C43" s="58" t="s">
        <v>50</v>
      </c>
      <c r="D43" s="58" t="s">
        <v>391</v>
      </c>
      <c r="E43" s="68" t="s">
        <v>501</v>
      </c>
      <c r="F43" s="68" t="s">
        <v>500</v>
      </c>
      <c r="G43" s="52">
        <v>130.0</v>
      </c>
      <c r="H43" s="52">
        <v>159815.9622</v>
      </c>
      <c r="I43" s="52">
        <v>0.7567</v>
      </c>
      <c r="J43" s="52">
        <v>0.137</v>
      </c>
      <c r="K43" s="52">
        <v>5.6988</v>
      </c>
      <c r="L43" s="52">
        <v>65.7695</v>
      </c>
      <c r="M43" s="52">
        <v>0.0</v>
      </c>
      <c r="N43" s="52">
        <v>0.0</v>
      </c>
      <c r="O43" s="52">
        <v>101.36</v>
      </c>
      <c r="P43" s="52">
        <v>105.6843</v>
      </c>
      <c r="Q43" s="52">
        <v>33.4242</v>
      </c>
      <c r="R43" s="49">
        <v>2500.0</v>
      </c>
      <c r="S43" s="49">
        <v>150.0</v>
      </c>
      <c r="T43" s="49">
        <v>3000.0</v>
      </c>
      <c r="U43" s="49">
        <v>300.0</v>
      </c>
      <c r="V43" s="52">
        <v>400.0</v>
      </c>
      <c r="W43" s="52">
        <v>19497.0</v>
      </c>
      <c r="X43" s="52">
        <v>0.0</v>
      </c>
      <c r="Y43" s="52">
        <v>19497.0</v>
      </c>
      <c r="Z43" s="52">
        <v>100.0</v>
      </c>
      <c r="AA43" s="52">
        <v>0.0</v>
      </c>
      <c r="AB43" s="51">
        <f t="shared" si="3"/>
        <v>0</v>
      </c>
      <c r="AC43" s="52">
        <v>0.0</v>
      </c>
      <c r="AD43" s="51">
        <f t="shared" si="4"/>
        <v>0</v>
      </c>
      <c r="AE43" s="52">
        <v>0.0</v>
      </c>
      <c r="AF43" s="52">
        <v>0.0</v>
      </c>
      <c r="AG43" s="52">
        <v>481.2223418987537</v>
      </c>
      <c r="AH43" s="52">
        <v>1574.200000000001</v>
      </c>
      <c r="AI43" s="52">
        <v>5841.0</v>
      </c>
      <c r="AJ43" s="52">
        <v>623.0152685248494</v>
      </c>
      <c r="AK43" s="52">
        <v>6201.943783</v>
      </c>
      <c r="AL43" s="53">
        <v>9.0</v>
      </c>
      <c r="AM43" s="52">
        <v>199.0</v>
      </c>
      <c r="AN43" s="52">
        <v>22.11</v>
      </c>
      <c r="AO43" s="52">
        <v>1.6176</v>
      </c>
      <c r="AP43" s="52">
        <v>1617.6</v>
      </c>
      <c r="AQ43" s="52">
        <v>933.6992</v>
      </c>
      <c r="AR43" s="52">
        <v>86.4</v>
      </c>
      <c r="AS43" s="54">
        <v>31.6</v>
      </c>
      <c r="AT43" s="52">
        <v>2022.0</v>
      </c>
      <c r="AU43" s="52">
        <v>1167.0</v>
      </c>
      <c r="AV43" s="52">
        <v>1051.0</v>
      </c>
      <c r="AW43" s="52">
        <v>607.0</v>
      </c>
      <c r="AX43" s="59"/>
      <c r="AY43" s="60" t="s">
        <v>502</v>
      </c>
      <c r="AZ43" s="59"/>
      <c r="BA43" s="59"/>
      <c r="BB43" s="58" t="s">
        <v>435</v>
      </c>
      <c r="BC43" s="52">
        <v>10.0</v>
      </c>
      <c r="BD43" s="52">
        <v>10.0</v>
      </c>
      <c r="BE43" s="52">
        <v>10000.0</v>
      </c>
      <c r="BF43" s="68" t="s">
        <v>370</v>
      </c>
      <c r="BG43" s="68" t="s">
        <v>371</v>
      </c>
      <c r="BH43" s="68" t="s">
        <v>465</v>
      </c>
      <c r="BI43" s="71" t="s">
        <v>373</v>
      </c>
    </row>
    <row r="44" ht="22.5" customHeight="1">
      <c r="A44" s="72" t="s">
        <v>413</v>
      </c>
      <c r="B44" s="69" t="s">
        <v>503</v>
      </c>
      <c r="C44" s="62" t="s">
        <v>50</v>
      </c>
      <c r="D44" s="62" t="s">
        <v>404</v>
      </c>
      <c r="E44" s="69" t="s">
        <v>504</v>
      </c>
      <c r="F44" s="69" t="s">
        <v>503</v>
      </c>
      <c r="G44" s="40">
        <v>160.0</v>
      </c>
      <c r="H44" s="40">
        <v>196256.7855</v>
      </c>
      <c r="I44" s="40">
        <v>2.4638</v>
      </c>
      <c r="J44" s="40">
        <v>0.7849</v>
      </c>
      <c r="K44" s="40">
        <v>6.2638</v>
      </c>
      <c r="L44" s="40">
        <v>128.8438</v>
      </c>
      <c r="M44" s="40">
        <v>0.0</v>
      </c>
      <c r="N44" s="40">
        <v>0.0</v>
      </c>
      <c r="O44" s="40">
        <v>101.96</v>
      </c>
      <c r="P44" s="40">
        <v>105.6843</v>
      </c>
      <c r="Q44" s="40">
        <v>282.8427</v>
      </c>
      <c r="R44" s="36">
        <v>2500.0</v>
      </c>
      <c r="S44" s="36">
        <v>150.0</v>
      </c>
      <c r="T44" s="36">
        <v>3000.0</v>
      </c>
      <c r="U44" s="36">
        <v>300.0</v>
      </c>
      <c r="V44" s="40">
        <v>925.0</v>
      </c>
      <c r="W44" s="40">
        <v>24385.0</v>
      </c>
      <c r="X44" s="40">
        <v>0.0</v>
      </c>
      <c r="Y44" s="40">
        <v>22371.0</v>
      </c>
      <c r="Z44" s="40">
        <v>91.7408</v>
      </c>
      <c r="AA44" s="40">
        <v>2014.0</v>
      </c>
      <c r="AB44" s="37">
        <f t="shared" si="3"/>
        <v>0.08259175723</v>
      </c>
      <c r="AC44" s="40">
        <v>0.0</v>
      </c>
      <c r="AD44" s="37">
        <f t="shared" si="4"/>
        <v>0</v>
      </c>
      <c r="AE44" s="40">
        <v>0.0</v>
      </c>
      <c r="AF44" s="40">
        <v>0.0</v>
      </c>
      <c r="AG44" s="40">
        <v>2970.264014763174</v>
      </c>
      <c r="AH44" s="40">
        <v>9629.399999999983</v>
      </c>
      <c r="AI44" s="40">
        <v>25898.0</v>
      </c>
      <c r="AJ44" s="40">
        <v>4035.079818447971</v>
      </c>
      <c r="AK44" s="40">
        <v>35725.804516</v>
      </c>
      <c r="AL44" s="41">
        <v>9.0</v>
      </c>
      <c r="AM44" s="40">
        <v>328.0</v>
      </c>
      <c r="AN44" s="40">
        <v>36.44</v>
      </c>
      <c r="AO44" s="40">
        <v>1.7745</v>
      </c>
      <c r="AP44" s="40">
        <v>1774.5</v>
      </c>
      <c r="AQ44" s="40">
        <v>1025.9453</v>
      </c>
      <c r="AR44" s="40">
        <v>94.6</v>
      </c>
      <c r="AS44" s="42">
        <v>32.6</v>
      </c>
      <c r="AT44" s="40">
        <v>2218.0</v>
      </c>
      <c r="AU44" s="40">
        <v>1282.0</v>
      </c>
      <c r="AV44" s="40">
        <v>1153.0</v>
      </c>
      <c r="AW44" s="40">
        <v>667.0</v>
      </c>
      <c r="AX44" s="64"/>
      <c r="AY44" s="66" t="s">
        <v>505</v>
      </c>
      <c r="AZ44" s="64"/>
      <c r="BA44" s="64"/>
      <c r="BB44" s="62" t="s">
        <v>506</v>
      </c>
      <c r="BC44" s="40">
        <v>10.0</v>
      </c>
      <c r="BD44" s="40">
        <v>10.0</v>
      </c>
      <c r="BE44" s="40">
        <v>10000.0</v>
      </c>
      <c r="BF44" s="69" t="s">
        <v>370</v>
      </c>
      <c r="BG44" s="69" t="s">
        <v>371</v>
      </c>
      <c r="BH44" s="69" t="s">
        <v>465</v>
      </c>
      <c r="BI44" s="70" t="s">
        <v>373</v>
      </c>
    </row>
    <row r="45" ht="22.5" customHeight="1">
      <c r="A45" s="73" t="s">
        <v>507</v>
      </c>
      <c r="B45" s="68" t="s">
        <v>508</v>
      </c>
      <c r="C45" s="58" t="s">
        <v>50</v>
      </c>
      <c r="D45" s="58" t="s">
        <v>383</v>
      </c>
      <c r="E45" s="68" t="s">
        <v>509</v>
      </c>
      <c r="F45" s="68" t="s">
        <v>508</v>
      </c>
      <c r="G45" s="52">
        <v>130.0</v>
      </c>
      <c r="H45" s="52">
        <v>91821.9865</v>
      </c>
      <c r="I45" s="52">
        <v>35.8806</v>
      </c>
      <c r="J45" s="52">
        <v>10.2504</v>
      </c>
      <c r="K45" s="52">
        <v>3.7675</v>
      </c>
      <c r="L45" s="52">
        <v>776.3633</v>
      </c>
      <c r="M45" s="52">
        <v>0.0</v>
      </c>
      <c r="N45" s="52">
        <v>0.0</v>
      </c>
      <c r="O45" s="52">
        <v>170.0245</v>
      </c>
      <c r="P45" s="52">
        <v>170.4578</v>
      </c>
      <c r="Q45" s="52">
        <v>95.3647</v>
      </c>
      <c r="R45" s="49">
        <v>2500.0</v>
      </c>
      <c r="S45" s="49">
        <v>150.0</v>
      </c>
      <c r="T45" s="49">
        <v>3000.0</v>
      </c>
      <c r="U45" s="49">
        <v>300.0</v>
      </c>
      <c r="V45" s="52">
        <v>1305.0</v>
      </c>
      <c r="W45" s="52">
        <v>18827.0</v>
      </c>
      <c r="X45" s="52">
        <v>0.0</v>
      </c>
      <c r="Y45" s="52">
        <v>13801.0</v>
      </c>
      <c r="Z45" s="52">
        <v>73.3043</v>
      </c>
      <c r="AA45" s="52">
        <v>5026.0</v>
      </c>
      <c r="AB45" s="51">
        <f t="shared" si="3"/>
        <v>0.2669570298</v>
      </c>
      <c r="AC45" s="52">
        <v>149.0</v>
      </c>
      <c r="AD45" s="51">
        <f t="shared" si="4"/>
        <v>0.007914165826</v>
      </c>
      <c r="AE45" s="52">
        <v>0.0</v>
      </c>
      <c r="AF45" s="52">
        <v>0.0</v>
      </c>
      <c r="AG45" s="52">
        <v>4906.284378817655</v>
      </c>
      <c r="AH45" s="52">
        <v>16161.90000000001</v>
      </c>
      <c r="AI45" s="52">
        <v>61852.0</v>
      </c>
      <c r="AJ45" s="52">
        <v>5460.468421970937</v>
      </c>
      <c r="AK45" s="52">
        <v>64204.094091</v>
      </c>
      <c r="AL45" s="53">
        <v>3.0</v>
      </c>
      <c r="AM45" s="52">
        <v>359.0</v>
      </c>
      <c r="AN45" s="52">
        <v>119.67</v>
      </c>
      <c r="AO45" s="52">
        <v>2.4013</v>
      </c>
      <c r="AP45" s="52">
        <v>2401.3</v>
      </c>
      <c r="AQ45" s="52">
        <v>1387.2422</v>
      </c>
      <c r="AR45" s="52">
        <v>90.8</v>
      </c>
      <c r="AS45" s="54">
        <v>21.4</v>
      </c>
      <c r="AT45" s="52">
        <v>3002.0</v>
      </c>
      <c r="AU45" s="52">
        <v>1734.0</v>
      </c>
      <c r="AV45" s="52">
        <v>1561.0</v>
      </c>
      <c r="AW45" s="52">
        <v>902.0</v>
      </c>
      <c r="AX45" s="58" t="s">
        <v>510</v>
      </c>
      <c r="AY45" s="60" t="s">
        <v>511</v>
      </c>
      <c r="AZ45" s="59"/>
      <c r="BA45" s="59"/>
      <c r="BB45" s="58" t="s">
        <v>430</v>
      </c>
      <c r="BC45" s="52">
        <v>10.0</v>
      </c>
      <c r="BD45" s="52">
        <v>10.0</v>
      </c>
      <c r="BE45" s="52">
        <v>10000.0</v>
      </c>
      <c r="BF45" s="68" t="s">
        <v>370</v>
      </c>
      <c r="BG45" s="68" t="s">
        <v>371</v>
      </c>
      <c r="BH45" s="68" t="s">
        <v>512</v>
      </c>
      <c r="BI45" s="71" t="s">
        <v>373</v>
      </c>
    </row>
    <row r="46" ht="22.5" customHeight="1">
      <c r="A46" s="72" t="s">
        <v>513</v>
      </c>
      <c r="B46" s="69" t="s">
        <v>514</v>
      </c>
      <c r="C46" s="62" t="s">
        <v>50</v>
      </c>
      <c r="D46" s="62" t="s">
        <v>391</v>
      </c>
      <c r="E46" s="69" t="s">
        <v>515</v>
      </c>
      <c r="F46" s="69" t="s">
        <v>514</v>
      </c>
      <c r="G46" s="40">
        <v>130.0</v>
      </c>
      <c r="H46" s="40">
        <v>95951.8708</v>
      </c>
      <c r="I46" s="40">
        <v>35.8522</v>
      </c>
      <c r="J46" s="40">
        <v>20.585</v>
      </c>
      <c r="K46" s="40">
        <v>5.12</v>
      </c>
      <c r="L46" s="40">
        <v>776.3633</v>
      </c>
      <c r="M46" s="40">
        <v>0.0</v>
      </c>
      <c r="N46" s="40">
        <v>0.0</v>
      </c>
      <c r="O46" s="40">
        <v>177.4</v>
      </c>
      <c r="P46" s="40">
        <v>207.1284</v>
      </c>
      <c r="Q46" s="40">
        <v>137.0376</v>
      </c>
      <c r="R46" s="36">
        <v>2500.0</v>
      </c>
      <c r="S46" s="36">
        <v>150.0</v>
      </c>
      <c r="T46" s="36">
        <v>3000.0</v>
      </c>
      <c r="U46" s="36">
        <v>300.0</v>
      </c>
      <c r="V46" s="40">
        <v>1165.0</v>
      </c>
      <c r="W46" s="40">
        <v>17841.0</v>
      </c>
      <c r="X46" s="40">
        <v>0.0</v>
      </c>
      <c r="Y46" s="40">
        <v>14534.0</v>
      </c>
      <c r="Z46" s="40">
        <v>81.464</v>
      </c>
      <c r="AA46" s="40">
        <v>3307.0</v>
      </c>
      <c r="AB46" s="37">
        <f t="shared" si="3"/>
        <v>0.185359565</v>
      </c>
      <c r="AC46" s="40">
        <v>67.0</v>
      </c>
      <c r="AD46" s="37">
        <f t="shared" si="4"/>
        <v>0.003755394877</v>
      </c>
      <c r="AE46" s="40">
        <v>0.0</v>
      </c>
      <c r="AF46" s="40">
        <v>0.0</v>
      </c>
      <c r="AG46" s="40">
        <v>3577.637856622387</v>
      </c>
      <c r="AH46" s="40">
        <v>14124.0</v>
      </c>
      <c r="AI46" s="40">
        <v>60137.0</v>
      </c>
      <c r="AJ46" s="40">
        <v>3998.669580418072</v>
      </c>
      <c r="AK46" s="40">
        <v>60522.108925</v>
      </c>
      <c r="AL46" s="41">
        <v>3.0</v>
      </c>
      <c r="AM46" s="40">
        <v>346.0</v>
      </c>
      <c r="AN46" s="40">
        <v>115.33</v>
      </c>
      <c r="AO46" s="40">
        <v>2.4412</v>
      </c>
      <c r="AP46" s="40">
        <v>2441.2</v>
      </c>
      <c r="AQ46" s="40">
        <v>1455.2656</v>
      </c>
      <c r="AR46" s="40">
        <v>90.8</v>
      </c>
      <c r="AS46" s="42">
        <v>22.4</v>
      </c>
      <c r="AT46" s="40">
        <v>3052.0</v>
      </c>
      <c r="AU46" s="40">
        <v>1819.0</v>
      </c>
      <c r="AV46" s="40">
        <v>1587.0</v>
      </c>
      <c r="AW46" s="40">
        <v>946.0</v>
      </c>
      <c r="AX46" s="62" t="s">
        <v>516</v>
      </c>
      <c r="AY46" s="66" t="s">
        <v>517</v>
      </c>
      <c r="AZ46" s="64"/>
      <c r="BA46" s="64"/>
      <c r="BB46" s="62" t="s">
        <v>435</v>
      </c>
      <c r="BC46" s="40">
        <v>10.0</v>
      </c>
      <c r="BD46" s="40">
        <v>10.0</v>
      </c>
      <c r="BE46" s="40">
        <v>10000.0</v>
      </c>
      <c r="BF46" s="69" t="s">
        <v>370</v>
      </c>
      <c r="BG46" s="69" t="s">
        <v>371</v>
      </c>
      <c r="BH46" s="69" t="s">
        <v>512</v>
      </c>
      <c r="BI46" s="70" t="s">
        <v>373</v>
      </c>
    </row>
    <row r="47" ht="22.5" customHeight="1">
      <c r="A47" s="73" t="s">
        <v>518</v>
      </c>
      <c r="B47" s="68" t="s">
        <v>519</v>
      </c>
      <c r="C47" s="58" t="s">
        <v>50</v>
      </c>
      <c r="D47" s="58" t="s">
        <v>398</v>
      </c>
      <c r="E47" s="68" t="s">
        <v>520</v>
      </c>
      <c r="F47" s="68" t="s">
        <v>519</v>
      </c>
      <c r="G47" s="52">
        <v>100.0</v>
      </c>
      <c r="H47" s="52">
        <v>407540.2281</v>
      </c>
      <c r="I47" s="52">
        <v>27.376</v>
      </c>
      <c r="J47" s="52">
        <v>15.5936</v>
      </c>
      <c r="K47" s="52">
        <v>5.12</v>
      </c>
      <c r="L47" s="52">
        <v>1125.7812</v>
      </c>
      <c r="M47" s="52">
        <v>0.0</v>
      </c>
      <c r="N47" s="52">
        <v>0.0</v>
      </c>
      <c r="O47" s="52">
        <v>209.06</v>
      </c>
      <c r="P47" s="52">
        <v>238.1002</v>
      </c>
      <c r="Q47" s="52">
        <v>141.4214</v>
      </c>
      <c r="R47" s="49">
        <v>2500.0</v>
      </c>
      <c r="S47" s="49">
        <v>150.0</v>
      </c>
      <c r="T47" s="49">
        <v>3000.0</v>
      </c>
      <c r="U47" s="49">
        <v>300.0</v>
      </c>
      <c r="V47" s="52">
        <v>1093.0</v>
      </c>
      <c r="W47" s="52">
        <v>58897.0</v>
      </c>
      <c r="X47" s="52">
        <v>0.0</v>
      </c>
      <c r="Y47" s="52">
        <v>53938.0</v>
      </c>
      <c r="Z47" s="52">
        <v>91.5802</v>
      </c>
      <c r="AA47" s="52">
        <v>4959.0</v>
      </c>
      <c r="AB47" s="51">
        <f t="shared" si="3"/>
        <v>0.0841978369</v>
      </c>
      <c r="AC47" s="52">
        <v>173.0</v>
      </c>
      <c r="AD47" s="51">
        <f t="shared" si="4"/>
        <v>0.002937331273</v>
      </c>
      <c r="AE47" s="52">
        <v>0.0</v>
      </c>
      <c r="AF47" s="52">
        <v>0.0</v>
      </c>
      <c r="AG47" s="52">
        <v>2280.137986654668</v>
      </c>
      <c r="AH47" s="52">
        <v>10406.0</v>
      </c>
      <c r="AI47" s="52">
        <v>61002.0</v>
      </c>
      <c r="AJ47" s="52">
        <v>2426.195656236381</v>
      </c>
      <c r="AK47" s="52">
        <v>67896.370292</v>
      </c>
      <c r="AL47" s="53">
        <v>3.0</v>
      </c>
      <c r="AM47" s="52">
        <v>483.0</v>
      </c>
      <c r="AN47" s="52">
        <v>161.0</v>
      </c>
      <c r="AO47" s="52">
        <v>2.4987</v>
      </c>
      <c r="AP47" s="52">
        <v>2498.7</v>
      </c>
      <c r="AQ47" s="52">
        <v>1894.668</v>
      </c>
      <c r="AR47" s="52">
        <v>91.3</v>
      </c>
      <c r="AS47" s="54">
        <v>25.6</v>
      </c>
      <c r="AT47" s="52">
        <v>3123.0</v>
      </c>
      <c r="AU47" s="52">
        <v>2368.0</v>
      </c>
      <c r="AV47" s="52">
        <v>1624.0</v>
      </c>
      <c r="AW47" s="52">
        <v>1232.0</v>
      </c>
      <c r="AX47" s="58" t="s">
        <v>521</v>
      </c>
      <c r="AY47" s="60" t="s">
        <v>522</v>
      </c>
      <c r="AZ47" s="59"/>
      <c r="BA47" s="59"/>
      <c r="BB47" s="59"/>
      <c r="BC47" s="52">
        <v>10.0</v>
      </c>
      <c r="BD47" s="52">
        <v>10.0</v>
      </c>
      <c r="BE47" s="52">
        <v>10000.0</v>
      </c>
      <c r="BF47" s="68" t="s">
        <v>370</v>
      </c>
      <c r="BG47" s="68" t="s">
        <v>371</v>
      </c>
      <c r="BH47" s="68" t="s">
        <v>512</v>
      </c>
      <c r="BI47" s="71" t="s">
        <v>373</v>
      </c>
    </row>
    <row r="48" ht="22.5" customHeight="1">
      <c r="A48" s="72" t="s">
        <v>523</v>
      </c>
      <c r="B48" s="69" t="s">
        <v>524</v>
      </c>
      <c r="C48" s="62" t="s">
        <v>50</v>
      </c>
      <c r="D48" s="62" t="s">
        <v>404</v>
      </c>
      <c r="E48" s="69" t="s">
        <v>525</v>
      </c>
      <c r="F48" s="69" t="s">
        <v>524</v>
      </c>
      <c r="G48" s="40">
        <v>160.0</v>
      </c>
      <c r="H48" s="40">
        <v>64399.7443</v>
      </c>
      <c r="I48" s="40">
        <v>66.4179</v>
      </c>
      <c r="J48" s="40">
        <v>45.4282</v>
      </c>
      <c r="K48" s="40">
        <v>4.445</v>
      </c>
      <c r="L48" s="40">
        <v>849.1445</v>
      </c>
      <c r="M48" s="40">
        <v>0.0</v>
      </c>
      <c r="N48" s="40">
        <v>0.0</v>
      </c>
      <c r="O48" s="40">
        <v>208.4016</v>
      </c>
      <c r="P48" s="40">
        <v>238.1002</v>
      </c>
      <c r="Q48" s="40">
        <v>138.9122</v>
      </c>
      <c r="R48" s="36">
        <v>2500.0</v>
      </c>
      <c r="S48" s="36">
        <v>150.0</v>
      </c>
      <c r="T48" s="36">
        <v>3000.0</v>
      </c>
      <c r="U48" s="36">
        <v>300.0</v>
      </c>
      <c r="V48" s="40">
        <v>1500.0</v>
      </c>
      <c r="W48" s="40">
        <v>21976.0</v>
      </c>
      <c r="X48" s="40">
        <v>0.0</v>
      </c>
      <c r="Y48" s="40">
        <v>8947.0</v>
      </c>
      <c r="Z48" s="40">
        <v>40.7126</v>
      </c>
      <c r="AA48" s="40">
        <v>13029.0</v>
      </c>
      <c r="AB48" s="37">
        <f t="shared" si="3"/>
        <v>0.5928740444</v>
      </c>
      <c r="AC48" s="40">
        <v>785.0</v>
      </c>
      <c r="AD48" s="37">
        <f t="shared" si="4"/>
        <v>0.03572078631</v>
      </c>
      <c r="AE48" s="40">
        <v>0.0</v>
      </c>
      <c r="AF48" s="40">
        <v>0.0</v>
      </c>
      <c r="AG48" s="40">
        <v>9680.59956315981</v>
      </c>
      <c r="AH48" s="40">
        <v>27925.25</v>
      </c>
      <c r="AI48" s="40">
        <v>62398.0</v>
      </c>
      <c r="AJ48" s="40">
        <v>11211.97273680103</v>
      </c>
      <c r="AK48" s="40">
        <v>68404.887621</v>
      </c>
      <c r="AL48" s="41">
        <v>3.0</v>
      </c>
      <c r="AM48" s="40">
        <v>466.0</v>
      </c>
      <c r="AN48" s="40">
        <v>155.33</v>
      </c>
      <c r="AO48" s="40">
        <v>2.4987</v>
      </c>
      <c r="AP48" s="40">
        <v>2498.7</v>
      </c>
      <c r="AQ48" s="40">
        <v>1940.3633</v>
      </c>
      <c r="AR48" s="40">
        <v>88.6</v>
      </c>
      <c r="AS48" s="42">
        <v>25.5</v>
      </c>
      <c r="AT48" s="40">
        <v>3123.0</v>
      </c>
      <c r="AU48" s="40">
        <v>2425.0</v>
      </c>
      <c r="AV48" s="40">
        <v>1624.0</v>
      </c>
      <c r="AW48" s="40">
        <v>1261.0</v>
      </c>
      <c r="AX48" s="64"/>
      <c r="AY48" s="66" t="s">
        <v>526</v>
      </c>
      <c r="AZ48" s="64"/>
      <c r="BA48" s="64"/>
      <c r="BB48" s="64"/>
      <c r="BC48" s="40">
        <v>10.0</v>
      </c>
      <c r="BD48" s="40">
        <v>10.0</v>
      </c>
      <c r="BE48" s="40">
        <v>10000.0</v>
      </c>
      <c r="BF48" s="69" t="s">
        <v>370</v>
      </c>
      <c r="BG48" s="69" t="s">
        <v>371</v>
      </c>
      <c r="BH48" s="69" t="s">
        <v>512</v>
      </c>
      <c r="BI48" s="70" t="s">
        <v>373</v>
      </c>
    </row>
    <row r="49" ht="22.5" customHeight="1">
      <c r="A49" s="73" t="s">
        <v>527</v>
      </c>
      <c r="B49" s="68" t="s">
        <v>528</v>
      </c>
      <c r="C49" s="58" t="s">
        <v>50</v>
      </c>
      <c r="D49" s="58" t="s">
        <v>383</v>
      </c>
      <c r="E49" s="68" t="s">
        <v>529</v>
      </c>
      <c r="F49" s="68" t="s">
        <v>528</v>
      </c>
      <c r="G49" s="52">
        <v>130.0</v>
      </c>
      <c r="H49" s="52">
        <v>165830.8264</v>
      </c>
      <c r="I49" s="52">
        <v>11.9734</v>
      </c>
      <c r="J49" s="52">
        <v>1.7567</v>
      </c>
      <c r="K49" s="52">
        <v>4.0475</v>
      </c>
      <c r="L49" s="52">
        <v>149.8828</v>
      </c>
      <c r="M49" s="52">
        <v>0.0</v>
      </c>
      <c r="N49" s="52">
        <v>0.0</v>
      </c>
      <c r="O49" s="52">
        <v>154.35</v>
      </c>
      <c r="P49" s="52">
        <v>163.1348</v>
      </c>
      <c r="Q49" s="52">
        <v>41.9533</v>
      </c>
      <c r="R49" s="49">
        <v>2500.0</v>
      </c>
      <c r="S49" s="49">
        <v>150.0</v>
      </c>
      <c r="T49" s="49">
        <v>3000.0</v>
      </c>
      <c r="U49" s="49">
        <v>300.0</v>
      </c>
      <c r="V49" s="52">
        <v>400.0</v>
      </c>
      <c r="W49" s="52">
        <v>20399.0</v>
      </c>
      <c r="X49" s="52">
        <v>0.0</v>
      </c>
      <c r="Y49" s="52">
        <v>20398.0</v>
      </c>
      <c r="Z49" s="52">
        <v>99.9951</v>
      </c>
      <c r="AA49" s="52">
        <v>1.0</v>
      </c>
      <c r="AB49" s="51">
        <f t="shared" si="3"/>
        <v>0.00004902201088</v>
      </c>
      <c r="AC49" s="52">
        <v>0.0</v>
      </c>
      <c r="AD49" s="51">
        <f t="shared" si="4"/>
        <v>0</v>
      </c>
      <c r="AE49" s="52">
        <v>0.0</v>
      </c>
      <c r="AF49" s="52">
        <v>0.0</v>
      </c>
      <c r="AG49" s="52">
        <v>317.0210794646796</v>
      </c>
      <c r="AH49" s="52">
        <v>729.0</v>
      </c>
      <c r="AI49" s="52">
        <v>11582.0</v>
      </c>
      <c r="AJ49" s="52">
        <v>419.5533632993773</v>
      </c>
      <c r="AK49" s="52">
        <v>11795.977796</v>
      </c>
      <c r="AL49" s="53">
        <v>6.0</v>
      </c>
      <c r="AM49" s="52">
        <v>153.0</v>
      </c>
      <c r="AN49" s="52">
        <v>25.5</v>
      </c>
      <c r="AO49" s="52">
        <v>2.3484</v>
      </c>
      <c r="AP49" s="52">
        <v>2348.4</v>
      </c>
      <c r="AQ49" s="52">
        <v>1033.2188</v>
      </c>
      <c r="AR49" s="52">
        <v>87.7</v>
      </c>
      <c r="AS49" s="54">
        <v>24.0</v>
      </c>
      <c r="AT49" s="52">
        <v>2936.0</v>
      </c>
      <c r="AU49" s="52">
        <v>1292.0</v>
      </c>
      <c r="AV49" s="52">
        <v>1526.0</v>
      </c>
      <c r="AW49" s="52">
        <v>672.0</v>
      </c>
      <c r="AX49" s="59"/>
      <c r="AY49" s="60" t="s">
        <v>530</v>
      </c>
      <c r="AZ49" s="59"/>
      <c r="BA49" s="59"/>
      <c r="BB49" s="59"/>
      <c r="BC49" s="52">
        <v>10.0</v>
      </c>
      <c r="BD49" s="52">
        <v>10.0</v>
      </c>
      <c r="BE49" s="52">
        <v>10000.0</v>
      </c>
      <c r="BF49" s="68" t="s">
        <v>370</v>
      </c>
      <c r="BG49" s="68" t="s">
        <v>371</v>
      </c>
      <c r="BH49" s="68" t="s">
        <v>512</v>
      </c>
      <c r="BI49" s="71" t="s">
        <v>373</v>
      </c>
    </row>
    <row r="50" ht="22.5" customHeight="1">
      <c r="A50" s="72" t="s">
        <v>531</v>
      </c>
      <c r="B50" s="69" t="s">
        <v>532</v>
      </c>
      <c r="C50" s="62" t="s">
        <v>50</v>
      </c>
      <c r="D50" s="62" t="s">
        <v>391</v>
      </c>
      <c r="E50" s="69" t="s">
        <v>533</v>
      </c>
      <c r="F50" s="69" t="s">
        <v>532</v>
      </c>
      <c r="G50" s="40">
        <v>130.0</v>
      </c>
      <c r="H50" s="40">
        <v>159801.6738</v>
      </c>
      <c r="I50" s="40">
        <v>10.4489</v>
      </c>
      <c r="J50" s="40">
        <v>1.293</v>
      </c>
      <c r="K50" s="40">
        <v>3.78</v>
      </c>
      <c r="L50" s="40">
        <v>68.7422</v>
      </c>
      <c r="M50" s="40">
        <v>0.0</v>
      </c>
      <c r="N50" s="40">
        <v>0.0</v>
      </c>
      <c r="O50" s="40">
        <v>152.1717</v>
      </c>
      <c r="P50" s="40">
        <v>160.595</v>
      </c>
      <c r="Q50" s="40">
        <v>28.8332</v>
      </c>
      <c r="R50" s="36">
        <v>2500.0</v>
      </c>
      <c r="S50" s="36">
        <v>150.0</v>
      </c>
      <c r="T50" s="36">
        <v>3000.0</v>
      </c>
      <c r="U50" s="36">
        <v>300.0</v>
      </c>
      <c r="V50" s="40">
        <v>400.0</v>
      </c>
      <c r="W50" s="40">
        <v>19499.0</v>
      </c>
      <c r="X50" s="40">
        <v>0.0</v>
      </c>
      <c r="Y50" s="40">
        <v>19499.0</v>
      </c>
      <c r="Z50" s="40">
        <v>100.0</v>
      </c>
      <c r="AA50" s="40">
        <v>0.0</v>
      </c>
      <c r="AB50" s="37">
        <f t="shared" si="3"/>
        <v>0</v>
      </c>
      <c r="AC50" s="40">
        <v>0.0</v>
      </c>
      <c r="AD50" s="37">
        <f t="shared" si="4"/>
        <v>0</v>
      </c>
      <c r="AE50" s="40">
        <v>0.0</v>
      </c>
      <c r="AF50" s="40">
        <v>0.0</v>
      </c>
      <c r="AG50" s="40">
        <v>264.8679932304221</v>
      </c>
      <c r="AH50" s="40">
        <v>579.0</v>
      </c>
      <c r="AI50" s="40">
        <v>5284.0</v>
      </c>
      <c r="AJ50" s="40">
        <v>361.4611911431333</v>
      </c>
      <c r="AK50" s="40">
        <v>5479.439686</v>
      </c>
      <c r="AL50" s="41">
        <v>6.0</v>
      </c>
      <c r="AM50" s="40">
        <v>160.0</v>
      </c>
      <c r="AN50" s="40">
        <v>26.67</v>
      </c>
      <c r="AO50" s="40">
        <v>2.1434</v>
      </c>
      <c r="AP50" s="40">
        <v>2143.4</v>
      </c>
      <c r="AQ50" s="40">
        <v>1038.1953</v>
      </c>
      <c r="AR50" s="40">
        <v>84.4</v>
      </c>
      <c r="AS50" s="42">
        <v>24.1</v>
      </c>
      <c r="AT50" s="40">
        <v>2679.0</v>
      </c>
      <c r="AU50" s="40">
        <v>1298.0</v>
      </c>
      <c r="AV50" s="40">
        <v>1393.0</v>
      </c>
      <c r="AW50" s="40">
        <v>675.0</v>
      </c>
      <c r="AX50" s="64"/>
      <c r="AY50" s="66" t="s">
        <v>534</v>
      </c>
      <c r="AZ50" s="64"/>
      <c r="BA50" s="64"/>
      <c r="BB50" s="64"/>
      <c r="BC50" s="40">
        <v>10.0</v>
      </c>
      <c r="BD50" s="40">
        <v>10.0</v>
      </c>
      <c r="BE50" s="40">
        <v>10000.0</v>
      </c>
      <c r="BF50" s="69" t="s">
        <v>370</v>
      </c>
      <c r="BG50" s="69" t="s">
        <v>371</v>
      </c>
      <c r="BH50" s="69" t="s">
        <v>512</v>
      </c>
      <c r="BI50" s="70" t="s">
        <v>373</v>
      </c>
    </row>
    <row r="51" ht="22.5" customHeight="1">
      <c r="A51" s="73" t="s">
        <v>535</v>
      </c>
      <c r="B51" s="68" t="s">
        <v>536</v>
      </c>
      <c r="C51" s="58" t="s">
        <v>50</v>
      </c>
      <c r="D51" s="58" t="s">
        <v>398</v>
      </c>
      <c r="E51" s="68" t="s">
        <v>537</v>
      </c>
      <c r="F51" s="68" t="s">
        <v>536</v>
      </c>
      <c r="G51" s="52">
        <v>100.0</v>
      </c>
      <c r="H51" s="52">
        <v>483711.4809</v>
      </c>
      <c r="I51" s="52">
        <v>5.8458</v>
      </c>
      <c r="J51" s="52">
        <v>1.6466</v>
      </c>
      <c r="K51" s="52">
        <v>4.1125</v>
      </c>
      <c r="L51" s="52">
        <v>154.4922</v>
      </c>
      <c r="M51" s="52">
        <v>0.0</v>
      </c>
      <c r="N51" s="52">
        <v>0.0</v>
      </c>
      <c r="O51" s="52">
        <v>159.8768</v>
      </c>
      <c r="P51" s="52">
        <v>161.58</v>
      </c>
      <c r="Q51" s="52">
        <v>197.9899</v>
      </c>
      <c r="R51" s="49">
        <v>2500.0</v>
      </c>
      <c r="S51" s="49">
        <v>150.0</v>
      </c>
      <c r="T51" s="49">
        <v>3000.0</v>
      </c>
      <c r="U51" s="49">
        <v>300.0</v>
      </c>
      <c r="V51" s="52">
        <v>400.0</v>
      </c>
      <c r="W51" s="52">
        <v>59999.0</v>
      </c>
      <c r="X51" s="52">
        <v>0.0</v>
      </c>
      <c r="Y51" s="52">
        <v>59992.0</v>
      </c>
      <c r="Z51" s="52">
        <v>99.9883</v>
      </c>
      <c r="AA51" s="52">
        <v>7.0</v>
      </c>
      <c r="AB51" s="51">
        <f t="shared" si="3"/>
        <v>0.0001166686111</v>
      </c>
      <c r="AC51" s="52">
        <v>0.0</v>
      </c>
      <c r="AD51" s="51">
        <f t="shared" si="4"/>
        <v>0</v>
      </c>
      <c r="AE51" s="52">
        <v>0.0</v>
      </c>
      <c r="AF51" s="52">
        <v>0.0</v>
      </c>
      <c r="AG51" s="52">
        <v>200.3288721478691</v>
      </c>
      <c r="AH51" s="52">
        <v>366.0</v>
      </c>
      <c r="AI51" s="52">
        <v>11196.0</v>
      </c>
      <c r="AJ51" s="52">
        <v>261.8563259506973</v>
      </c>
      <c r="AK51" s="52">
        <v>11261.402698</v>
      </c>
      <c r="AL51" s="53">
        <v>6.0</v>
      </c>
      <c r="AM51" s="52">
        <v>119.0</v>
      </c>
      <c r="AN51" s="52">
        <v>19.83</v>
      </c>
      <c r="AO51" s="52">
        <v>2.3484</v>
      </c>
      <c r="AP51" s="52">
        <v>2348.4</v>
      </c>
      <c r="AQ51" s="52">
        <v>1042.7578</v>
      </c>
      <c r="AR51" s="52">
        <v>85.4</v>
      </c>
      <c r="AS51" s="54">
        <v>24.2</v>
      </c>
      <c r="AT51" s="52">
        <v>2936.0</v>
      </c>
      <c r="AU51" s="52">
        <v>1303.0</v>
      </c>
      <c r="AV51" s="52">
        <v>1526.0</v>
      </c>
      <c r="AW51" s="52">
        <v>678.0</v>
      </c>
      <c r="AX51" s="59"/>
      <c r="AY51" s="60" t="s">
        <v>538</v>
      </c>
      <c r="AZ51" s="59"/>
      <c r="BA51" s="59"/>
      <c r="BB51" s="59"/>
      <c r="BC51" s="52">
        <v>10.0</v>
      </c>
      <c r="BD51" s="52">
        <v>10.0</v>
      </c>
      <c r="BE51" s="52">
        <v>10000.0</v>
      </c>
      <c r="BF51" s="68" t="s">
        <v>370</v>
      </c>
      <c r="BG51" s="68" t="s">
        <v>371</v>
      </c>
      <c r="BH51" s="68" t="s">
        <v>512</v>
      </c>
      <c r="BI51" s="71" t="s">
        <v>373</v>
      </c>
    </row>
    <row r="52" ht="22.5" customHeight="1">
      <c r="A52" s="72" t="s">
        <v>539</v>
      </c>
      <c r="B52" s="69" t="s">
        <v>540</v>
      </c>
      <c r="C52" s="62" t="s">
        <v>50</v>
      </c>
      <c r="D52" s="62" t="s">
        <v>404</v>
      </c>
      <c r="E52" s="69" t="s">
        <v>541</v>
      </c>
      <c r="F52" s="69" t="s">
        <v>540</v>
      </c>
      <c r="G52" s="40">
        <v>160.0</v>
      </c>
      <c r="H52" s="40">
        <v>206621.2867</v>
      </c>
      <c r="I52" s="40">
        <v>23.7021</v>
      </c>
      <c r="J52" s="40">
        <v>6.0835</v>
      </c>
      <c r="K52" s="40">
        <v>5.0375</v>
      </c>
      <c r="L52" s="40">
        <v>174.375</v>
      </c>
      <c r="M52" s="40">
        <v>0.0</v>
      </c>
      <c r="N52" s="40">
        <v>0.0</v>
      </c>
      <c r="O52" s="40">
        <v>170.6495</v>
      </c>
      <c r="P52" s="40">
        <v>180.3433</v>
      </c>
      <c r="Q52" s="40">
        <v>141.4214</v>
      </c>
      <c r="R52" s="36">
        <v>2500.0</v>
      </c>
      <c r="S52" s="36">
        <v>150.0</v>
      </c>
      <c r="T52" s="36">
        <v>3000.0</v>
      </c>
      <c r="U52" s="36">
        <v>300.0</v>
      </c>
      <c r="V52" s="40">
        <v>454.0</v>
      </c>
      <c r="W52" s="40">
        <v>25525.0</v>
      </c>
      <c r="X52" s="40">
        <v>0.0</v>
      </c>
      <c r="Y52" s="40">
        <v>25428.0</v>
      </c>
      <c r="Z52" s="40">
        <v>99.62</v>
      </c>
      <c r="AA52" s="40">
        <v>97.0</v>
      </c>
      <c r="AB52" s="37">
        <f t="shared" si="3"/>
        <v>0.003800195886</v>
      </c>
      <c r="AC52" s="40">
        <v>0.0</v>
      </c>
      <c r="AD52" s="37">
        <f t="shared" si="4"/>
        <v>0</v>
      </c>
      <c r="AE52" s="40">
        <v>0.0</v>
      </c>
      <c r="AF52" s="40">
        <v>0.0</v>
      </c>
      <c r="AG52" s="40">
        <v>1131.213829578844</v>
      </c>
      <c r="AH52" s="40">
        <v>2823.799999999999</v>
      </c>
      <c r="AI52" s="40">
        <v>13620.0</v>
      </c>
      <c r="AJ52" s="40">
        <v>1826.417801995402</v>
      </c>
      <c r="AK52" s="40">
        <v>16605.856041</v>
      </c>
      <c r="AL52" s="41">
        <v>6.0</v>
      </c>
      <c r="AM52" s="40">
        <v>262.0</v>
      </c>
      <c r="AN52" s="40">
        <v>43.67</v>
      </c>
      <c r="AO52" s="40">
        <v>2.2948</v>
      </c>
      <c r="AP52" s="40">
        <v>2294.8</v>
      </c>
      <c r="AQ52" s="40">
        <v>1127.4102</v>
      </c>
      <c r="AR52" s="40">
        <v>91.7</v>
      </c>
      <c r="AS52" s="42">
        <v>24.9</v>
      </c>
      <c r="AT52" s="40">
        <v>2869.0</v>
      </c>
      <c r="AU52" s="40">
        <v>1409.0</v>
      </c>
      <c r="AV52" s="40">
        <v>1492.0</v>
      </c>
      <c r="AW52" s="40">
        <v>733.0</v>
      </c>
      <c r="AX52" s="62" t="s">
        <v>542</v>
      </c>
      <c r="AY52" s="66" t="s">
        <v>543</v>
      </c>
      <c r="AZ52" s="64"/>
      <c r="BA52" s="64"/>
      <c r="BB52" s="64"/>
      <c r="BC52" s="40">
        <v>10.0</v>
      </c>
      <c r="BD52" s="40">
        <v>10.0</v>
      </c>
      <c r="BE52" s="40">
        <v>10000.0</v>
      </c>
      <c r="BF52" s="69" t="s">
        <v>370</v>
      </c>
      <c r="BG52" s="69" t="s">
        <v>371</v>
      </c>
      <c r="BH52" s="69" t="s">
        <v>512</v>
      </c>
      <c r="BI52" s="70" t="s">
        <v>373</v>
      </c>
    </row>
    <row r="53" ht="22.5" customHeight="1">
      <c r="A53" s="73" t="s">
        <v>544</v>
      </c>
      <c r="B53" s="68" t="s">
        <v>545</v>
      </c>
      <c r="C53" s="58" t="s">
        <v>50</v>
      </c>
      <c r="D53" s="58" t="s">
        <v>383</v>
      </c>
      <c r="E53" s="68" t="s">
        <v>546</v>
      </c>
      <c r="F53" s="68" t="s">
        <v>545</v>
      </c>
      <c r="G53" s="52">
        <v>130.0</v>
      </c>
      <c r="H53" s="52">
        <v>166935.6146</v>
      </c>
      <c r="I53" s="52">
        <v>3.2697</v>
      </c>
      <c r="J53" s="52">
        <v>0.3541</v>
      </c>
      <c r="K53" s="52">
        <v>5.2213</v>
      </c>
      <c r="L53" s="52">
        <v>122.4141</v>
      </c>
      <c r="M53" s="52">
        <v>0.0</v>
      </c>
      <c r="N53" s="52">
        <v>0.0</v>
      </c>
      <c r="O53" s="52">
        <v>133.0439</v>
      </c>
      <c r="P53" s="52">
        <v>138.9902</v>
      </c>
      <c r="Q53" s="52">
        <v>92.4263</v>
      </c>
      <c r="R53" s="49">
        <v>2500.0</v>
      </c>
      <c r="S53" s="49">
        <v>150.0</v>
      </c>
      <c r="T53" s="49">
        <v>3000.0</v>
      </c>
      <c r="U53" s="49">
        <v>300.0</v>
      </c>
      <c r="V53" s="52">
        <v>400.0</v>
      </c>
      <c r="W53" s="52">
        <v>20399.0</v>
      </c>
      <c r="X53" s="52">
        <v>0.0</v>
      </c>
      <c r="Y53" s="52">
        <v>20386.0</v>
      </c>
      <c r="Z53" s="52">
        <v>99.9363</v>
      </c>
      <c r="AA53" s="52">
        <v>13.0</v>
      </c>
      <c r="AB53" s="51">
        <f t="shared" si="3"/>
        <v>0.0006372861415</v>
      </c>
      <c r="AC53" s="52">
        <v>0.0</v>
      </c>
      <c r="AD53" s="51">
        <f t="shared" si="4"/>
        <v>0</v>
      </c>
      <c r="AE53" s="52">
        <v>0.0</v>
      </c>
      <c r="AF53" s="52">
        <v>0.0</v>
      </c>
      <c r="AG53" s="52">
        <v>364.4095298789156</v>
      </c>
      <c r="AH53" s="52">
        <v>1050.0</v>
      </c>
      <c r="AI53" s="52">
        <v>3674.0</v>
      </c>
      <c r="AJ53" s="52">
        <v>486.9272316423356</v>
      </c>
      <c r="AK53" s="52">
        <v>3780.658818</v>
      </c>
      <c r="AL53" s="53">
        <v>9.0</v>
      </c>
      <c r="AM53" s="52">
        <v>180.0</v>
      </c>
      <c r="AN53" s="52">
        <v>20.0</v>
      </c>
      <c r="AO53" s="52">
        <v>1.9146</v>
      </c>
      <c r="AP53" s="52">
        <v>1914.6</v>
      </c>
      <c r="AQ53" s="52">
        <v>1036.7422</v>
      </c>
      <c r="AR53" s="52">
        <v>91.5</v>
      </c>
      <c r="AS53" s="54">
        <v>25.7</v>
      </c>
      <c r="AT53" s="52">
        <v>2393.0</v>
      </c>
      <c r="AU53" s="52">
        <v>1296.0</v>
      </c>
      <c r="AV53" s="52">
        <v>1244.0</v>
      </c>
      <c r="AW53" s="52">
        <v>674.0</v>
      </c>
      <c r="AX53" s="59"/>
      <c r="AY53" s="60" t="s">
        <v>547</v>
      </c>
      <c r="AZ53" s="59"/>
      <c r="BA53" s="59"/>
      <c r="BB53" s="59"/>
      <c r="BC53" s="52">
        <v>10.0</v>
      </c>
      <c r="BD53" s="52">
        <v>10.0</v>
      </c>
      <c r="BE53" s="52">
        <v>10000.0</v>
      </c>
      <c r="BF53" s="68" t="s">
        <v>370</v>
      </c>
      <c r="BG53" s="68" t="s">
        <v>371</v>
      </c>
      <c r="BH53" s="68" t="s">
        <v>512</v>
      </c>
      <c r="BI53" s="71" t="s">
        <v>373</v>
      </c>
    </row>
    <row r="54" ht="22.5" customHeight="1">
      <c r="A54" s="72" t="s">
        <v>548</v>
      </c>
      <c r="B54" s="69" t="s">
        <v>549</v>
      </c>
      <c r="C54" s="62" t="s">
        <v>50</v>
      </c>
      <c r="D54" s="62" t="s">
        <v>391</v>
      </c>
      <c r="E54" s="69" t="s">
        <v>550</v>
      </c>
      <c r="F54" s="69" t="s">
        <v>549</v>
      </c>
      <c r="G54" s="40">
        <v>130.0</v>
      </c>
      <c r="H54" s="40">
        <v>160516.2178</v>
      </c>
      <c r="I54" s="40">
        <v>0.7706</v>
      </c>
      <c r="J54" s="40">
        <v>0.0868</v>
      </c>
      <c r="K54" s="40">
        <v>4.9113</v>
      </c>
      <c r="L54" s="40">
        <v>19.1719</v>
      </c>
      <c r="M54" s="40">
        <v>0.0</v>
      </c>
      <c r="N54" s="40">
        <v>0.0</v>
      </c>
      <c r="O54" s="40">
        <v>95.92</v>
      </c>
      <c r="P54" s="40">
        <v>101.7577</v>
      </c>
      <c r="Q54" s="40">
        <v>113.1371</v>
      </c>
      <c r="R54" s="36">
        <v>2500.0</v>
      </c>
      <c r="S54" s="36">
        <v>150.0</v>
      </c>
      <c r="T54" s="36">
        <v>3000.0</v>
      </c>
      <c r="U54" s="36">
        <v>300.0</v>
      </c>
      <c r="V54" s="40">
        <v>400.0</v>
      </c>
      <c r="W54" s="40">
        <v>19498.0</v>
      </c>
      <c r="X54" s="40">
        <v>0.0</v>
      </c>
      <c r="Y54" s="40">
        <v>19493.0</v>
      </c>
      <c r="Z54" s="40">
        <v>99.9744</v>
      </c>
      <c r="AA54" s="40">
        <v>5.0</v>
      </c>
      <c r="AB54" s="37">
        <f t="shared" si="3"/>
        <v>0.0002564365576</v>
      </c>
      <c r="AC54" s="40">
        <v>0.0</v>
      </c>
      <c r="AD54" s="37">
        <f t="shared" si="4"/>
        <v>0</v>
      </c>
      <c r="AE54" s="40">
        <v>0.0</v>
      </c>
      <c r="AF54" s="40">
        <v>0.0</v>
      </c>
      <c r="AG54" s="40">
        <v>418.0944199405067</v>
      </c>
      <c r="AH54" s="40">
        <v>1260.149999999998</v>
      </c>
      <c r="AI54" s="40">
        <v>11551.0</v>
      </c>
      <c r="AJ54" s="40">
        <v>545.3140639715859</v>
      </c>
      <c r="AK54" s="40">
        <v>11655.108675</v>
      </c>
      <c r="AL54" s="41">
        <v>9.0</v>
      </c>
      <c r="AM54" s="40">
        <v>187.0</v>
      </c>
      <c r="AN54" s="40">
        <v>20.78</v>
      </c>
      <c r="AO54" s="40">
        <v>1.6902</v>
      </c>
      <c r="AP54" s="40">
        <v>1690.2</v>
      </c>
      <c r="AQ54" s="40">
        <v>991.1328</v>
      </c>
      <c r="AR54" s="40">
        <v>90.2</v>
      </c>
      <c r="AS54" s="42">
        <v>25.7</v>
      </c>
      <c r="AT54" s="40">
        <v>2113.0</v>
      </c>
      <c r="AU54" s="40">
        <v>1239.0</v>
      </c>
      <c r="AV54" s="40">
        <v>1099.0</v>
      </c>
      <c r="AW54" s="40">
        <v>644.0</v>
      </c>
      <c r="AX54" s="64"/>
      <c r="AY54" s="66" t="s">
        <v>551</v>
      </c>
      <c r="AZ54" s="64"/>
      <c r="BA54" s="64"/>
      <c r="BB54" s="64"/>
      <c r="BC54" s="40">
        <v>10.0</v>
      </c>
      <c r="BD54" s="40">
        <v>10.0</v>
      </c>
      <c r="BE54" s="40">
        <v>10000.0</v>
      </c>
      <c r="BF54" s="69" t="s">
        <v>370</v>
      </c>
      <c r="BG54" s="69" t="s">
        <v>371</v>
      </c>
      <c r="BH54" s="69" t="s">
        <v>512</v>
      </c>
      <c r="BI54" s="70" t="s">
        <v>373</v>
      </c>
    </row>
    <row r="55" ht="22.5" customHeight="1">
      <c r="A55" s="73" t="s">
        <v>552</v>
      </c>
      <c r="B55" s="68" t="s">
        <v>553</v>
      </c>
      <c r="C55" s="58" t="s">
        <v>50</v>
      </c>
      <c r="D55" s="58" t="s">
        <v>398</v>
      </c>
      <c r="E55" s="68" t="s">
        <v>554</v>
      </c>
      <c r="F55" s="68" t="s">
        <v>553</v>
      </c>
      <c r="G55" s="52">
        <v>100.0</v>
      </c>
      <c r="H55" s="52">
        <v>483227.3462</v>
      </c>
      <c r="I55" s="52">
        <v>1.1953</v>
      </c>
      <c r="J55" s="52">
        <v>0.1581</v>
      </c>
      <c r="K55" s="52">
        <v>5.2875</v>
      </c>
      <c r="L55" s="52">
        <v>90.4414</v>
      </c>
      <c r="M55" s="52">
        <v>0.0</v>
      </c>
      <c r="N55" s="52">
        <v>0.0</v>
      </c>
      <c r="O55" s="52">
        <v>131.72</v>
      </c>
      <c r="P55" s="52">
        <v>138.8712</v>
      </c>
      <c r="Q55" s="52">
        <v>113.1371</v>
      </c>
      <c r="R55" s="49">
        <v>2500.0</v>
      </c>
      <c r="S55" s="49">
        <v>150.0</v>
      </c>
      <c r="T55" s="49">
        <v>3000.0</v>
      </c>
      <c r="U55" s="49">
        <v>300.0</v>
      </c>
      <c r="V55" s="52">
        <v>400.0</v>
      </c>
      <c r="W55" s="52">
        <v>59999.0</v>
      </c>
      <c r="X55" s="52">
        <v>0.0</v>
      </c>
      <c r="Y55" s="52">
        <v>59998.0</v>
      </c>
      <c r="Z55" s="52">
        <v>99.9983</v>
      </c>
      <c r="AA55" s="52">
        <v>1.0</v>
      </c>
      <c r="AB55" s="51">
        <f t="shared" si="3"/>
        <v>0.00001666694445</v>
      </c>
      <c r="AC55" s="52">
        <v>0.0</v>
      </c>
      <c r="AD55" s="51">
        <f t="shared" si="4"/>
        <v>0</v>
      </c>
      <c r="AE55" s="52">
        <v>0.0</v>
      </c>
      <c r="AF55" s="52">
        <v>0.0</v>
      </c>
      <c r="AG55" s="52">
        <v>200.8880814680245</v>
      </c>
      <c r="AH55" s="52">
        <v>379.0</v>
      </c>
      <c r="AI55" s="52">
        <v>11186.0</v>
      </c>
      <c r="AJ55" s="52">
        <v>261.8404134506041</v>
      </c>
      <c r="AK55" s="52">
        <v>11227.329239</v>
      </c>
      <c r="AL55" s="53">
        <v>9.0</v>
      </c>
      <c r="AM55" s="52">
        <v>117.0</v>
      </c>
      <c r="AN55" s="52">
        <v>13.0</v>
      </c>
      <c r="AO55" s="52">
        <v>1.9146</v>
      </c>
      <c r="AP55" s="52">
        <v>1914.6</v>
      </c>
      <c r="AQ55" s="52">
        <v>1005.3633</v>
      </c>
      <c r="AR55" s="52">
        <v>88.4</v>
      </c>
      <c r="AS55" s="54">
        <v>26.2</v>
      </c>
      <c r="AT55" s="52">
        <v>2393.0</v>
      </c>
      <c r="AU55" s="52">
        <v>1257.0</v>
      </c>
      <c r="AV55" s="52">
        <v>1244.0</v>
      </c>
      <c r="AW55" s="52">
        <v>653.0</v>
      </c>
      <c r="AX55" s="59"/>
      <c r="AY55" s="60" t="s">
        <v>555</v>
      </c>
      <c r="AZ55" s="59"/>
      <c r="BA55" s="59"/>
      <c r="BB55" s="59"/>
      <c r="BC55" s="52">
        <v>10.0</v>
      </c>
      <c r="BD55" s="52">
        <v>10.0</v>
      </c>
      <c r="BE55" s="52">
        <v>10000.0</v>
      </c>
      <c r="BF55" s="68" t="s">
        <v>370</v>
      </c>
      <c r="BG55" s="68" t="s">
        <v>371</v>
      </c>
      <c r="BH55" s="68" t="s">
        <v>512</v>
      </c>
      <c r="BI55" s="71" t="s">
        <v>373</v>
      </c>
    </row>
    <row r="56" ht="22.5" customHeight="1">
      <c r="A56" s="72" t="s">
        <v>465</v>
      </c>
      <c r="B56" s="69" t="s">
        <v>556</v>
      </c>
      <c r="C56" s="62" t="s">
        <v>50</v>
      </c>
      <c r="D56" s="62" t="s">
        <v>404</v>
      </c>
      <c r="E56" s="69" t="s">
        <v>557</v>
      </c>
      <c r="F56" s="69" t="s">
        <v>556</v>
      </c>
      <c r="G56" s="40">
        <v>160.0</v>
      </c>
      <c r="H56" s="40">
        <v>209917.2282</v>
      </c>
      <c r="I56" s="40">
        <v>1.4987</v>
      </c>
      <c r="J56" s="40">
        <v>0.3147</v>
      </c>
      <c r="K56" s="40">
        <v>8.005</v>
      </c>
      <c r="L56" s="40">
        <v>86.9453</v>
      </c>
      <c r="M56" s="40">
        <v>0.0</v>
      </c>
      <c r="N56" s="40">
        <v>0.0</v>
      </c>
      <c r="O56" s="40">
        <v>115.6324</v>
      </c>
      <c r="P56" s="40">
        <v>118.1339</v>
      </c>
      <c r="Q56" s="40">
        <v>91.301</v>
      </c>
      <c r="R56" s="36">
        <v>2500.0</v>
      </c>
      <c r="S56" s="36">
        <v>150.0</v>
      </c>
      <c r="T56" s="36">
        <v>3000.0</v>
      </c>
      <c r="U56" s="36">
        <v>300.0</v>
      </c>
      <c r="V56" s="40">
        <v>585.0</v>
      </c>
      <c r="W56" s="40">
        <v>25608.0</v>
      </c>
      <c r="X56" s="40">
        <v>0.0</v>
      </c>
      <c r="Y56" s="40">
        <v>25432.0</v>
      </c>
      <c r="Z56" s="40">
        <v>99.3127</v>
      </c>
      <c r="AA56" s="40">
        <v>176.0</v>
      </c>
      <c r="AB56" s="37">
        <f t="shared" si="3"/>
        <v>0.006872852234</v>
      </c>
      <c r="AC56" s="40">
        <v>0.0</v>
      </c>
      <c r="AD56" s="37">
        <f t="shared" si="4"/>
        <v>0</v>
      </c>
      <c r="AE56" s="40">
        <v>0.0</v>
      </c>
      <c r="AF56" s="40">
        <v>0.0</v>
      </c>
      <c r="AG56" s="40">
        <v>1238.309786004374</v>
      </c>
      <c r="AH56" s="40">
        <v>3511.649999999998</v>
      </c>
      <c r="AI56" s="40">
        <v>14577.0</v>
      </c>
      <c r="AJ56" s="40">
        <v>1792.250949414471</v>
      </c>
      <c r="AK56" s="40">
        <v>19958.959641</v>
      </c>
      <c r="AL56" s="41">
        <v>9.0</v>
      </c>
      <c r="AM56" s="40">
        <v>249.0</v>
      </c>
      <c r="AN56" s="40">
        <v>27.67</v>
      </c>
      <c r="AO56" s="40">
        <v>1.7449</v>
      </c>
      <c r="AP56" s="40">
        <v>1744.9</v>
      </c>
      <c r="AQ56" s="40">
        <v>1054.1484</v>
      </c>
      <c r="AR56" s="40">
        <v>95.3</v>
      </c>
      <c r="AS56" s="42">
        <v>28.2</v>
      </c>
      <c r="AT56" s="40">
        <v>2181.0</v>
      </c>
      <c r="AU56" s="40">
        <v>1318.0</v>
      </c>
      <c r="AV56" s="40">
        <v>1134.0</v>
      </c>
      <c r="AW56" s="40">
        <v>685.0</v>
      </c>
      <c r="AX56" s="64"/>
      <c r="AY56" s="66" t="s">
        <v>558</v>
      </c>
      <c r="AZ56" s="64"/>
      <c r="BA56" s="64"/>
      <c r="BB56" s="64"/>
      <c r="BC56" s="40">
        <v>10.0</v>
      </c>
      <c r="BD56" s="40">
        <v>10.0</v>
      </c>
      <c r="BE56" s="40">
        <v>10000.0</v>
      </c>
      <c r="BF56" s="69" t="s">
        <v>370</v>
      </c>
      <c r="BG56" s="69" t="s">
        <v>371</v>
      </c>
      <c r="BH56" s="69" t="s">
        <v>512</v>
      </c>
      <c r="BI56" s="70" t="s">
        <v>373</v>
      </c>
    </row>
    <row r="57" ht="22.5" customHeight="1">
      <c r="A57" s="73" t="s">
        <v>559</v>
      </c>
      <c r="B57" s="68" t="s">
        <v>560</v>
      </c>
      <c r="C57" s="58" t="s">
        <v>50</v>
      </c>
      <c r="D57" s="58" t="s">
        <v>383</v>
      </c>
      <c r="E57" s="68" t="s">
        <v>561</v>
      </c>
      <c r="F57" s="68" t="s">
        <v>560</v>
      </c>
      <c r="G57" s="52">
        <v>130.0</v>
      </c>
      <c r="H57" s="52">
        <v>104814.8444</v>
      </c>
      <c r="I57" s="52">
        <v>54.6559</v>
      </c>
      <c r="J57" s="52">
        <v>17.1638</v>
      </c>
      <c r="K57" s="52">
        <v>1.8342</v>
      </c>
      <c r="L57" s="52">
        <v>376.4219</v>
      </c>
      <c r="M57" s="52">
        <v>0.0</v>
      </c>
      <c r="N57" s="52">
        <v>0.0</v>
      </c>
      <c r="O57" s="52">
        <v>184.8485</v>
      </c>
      <c r="P57" s="52">
        <v>202.9669</v>
      </c>
      <c r="Q57" s="52">
        <v>140.5936</v>
      </c>
      <c r="R57" s="49">
        <v>2500.0</v>
      </c>
      <c r="S57" s="49">
        <v>150.0</v>
      </c>
      <c r="T57" s="49">
        <v>3000.0</v>
      </c>
      <c r="U57" s="49">
        <v>300.0</v>
      </c>
      <c r="V57" s="52">
        <v>1206.0</v>
      </c>
      <c r="W57" s="52">
        <v>18571.0</v>
      </c>
      <c r="X57" s="52">
        <v>0.0</v>
      </c>
      <c r="Y57" s="52">
        <v>13424.0</v>
      </c>
      <c r="Z57" s="52">
        <v>72.2847</v>
      </c>
      <c r="AA57" s="52">
        <v>5147.0</v>
      </c>
      <c r="AB57" s="51">
        <f t="shared" si="3"/>
        <v>0.2771525497</v>
      </c>
      <c r="AC57" s="52">
        <v>3.0</v>
      </c>
      <c r="AD57" s="51">
        <f t="shared" si="4"/>
        <v>0.0001615421894</v>
      </c>
      <c r="AE57" s="52">
        <v>0.0</v>
      </c>
      <c r="AF57" s="52">
        <v>0.0</v>
      </c>
      <c r="AG57" s="52">
        <v>4596.796187604329</v>
      </c>
      <c r="AH57" s="52">
        <v>15770.0</v>
      </c>
      <c r="AI57" s="52">
        <v>60030.0</v>
      </c>
      <c r="AJ57" s="52">
        <v>5157.924300568568</v>
      </c>
      <c r="AK57" s="52">
        <v>61061.675985</v>
      </c>
      <c r="AL57" s="53">
        <v>3.0</v>
      </c>
      <c r="AM57" s="52">
        <v>348.0</v>
      </c>
      <c r="AN57" s="52">
        <v>116.0</v>
      </c>
      <c r="AO57" s="52">
        <v>2.5029</v>
      </c>
      <c r="AP57" s="52">
        <v>2502.9</v>
      </c>
      <c r="AQ57" s="52">
        <v>1239.1953</v>
      </c>
      <c r="AR57" s="59"/>
      <c r="AS57" s="59"/>
      <c r="AT57" s="52">
        <v>3129.0</v>
      </c>
      <c r="AU57" s="52">
        <v>1549.0</v>
      </c>
      <c r="AV57" s="52">
        <v>1627.0</v>
      </c>
      <c r="AW57" s="52">
        <v>805.0</v>
      </c>
      <c r="AX57" s="59"/>
      <c r="AY57" s="60" t="s">
        <v>562</v>
      </c>
      <c r="AZ57" s="59"/>
      <c r="BA57" s="59"/>
      <c r="BB57" s="59"/>
      <c r="BC57" s="52">
        <v>10.0</v>
      </c>
      <c r="BD57" s="52">
        <v>10.0</v>
      </c>
      <c r="BE57" s="52">
        <v>10000.0</v>
      </c>
      <c r="BF57" s="68" t="s">
        <v>370</v>
      </c>
      <c r="BG57" s="68" t="s">
        <v>563</v>
      </c>
      <c r="BH57" s="68" t="s">
        <v>388</v>
      </c>
      <c r="BI57" s="71" t="s">
        <v>373</v>
      </c>
    </row>
    <row r="58" ht="22.5" customHeight="1">
      <c r="A58" s="72" t="s">
        <v>564</v>
      </c>
      <c r="B58" s="69" t="s">
        <v>565</v>
      </c>
      <c r="C58" s="62" t="s">
        <v>50</v>
      </c>
      <c r="D58" s="62" t="s">
        <v>391</v>
      </c>
      <c r="E58" s="69" t="s">
        <v>566</v>
      </c>
      <c r="F58" s="69" t="s">
        <v>565</v>
      </c>
      <c r="G58" s="40">
        <v>130.0</v>
      </c>
      <c r="H58" s="40">
        <v>119233.7607</v>
      </c>
      <c r="I58" s="40">
        <v>49.1236</v>
      </c>
      <c r="J58" s="40">
        <v>29.8995</v>
      </c>
      <c r="K58" s="40">
        <v>1.8342</v>
      </c>
      <c r="L58" s="40">
        <v>407.0234</v>
      </c>
      <c r="M58" s="40">
        <v>0.0</v>
      </c>
      <c r="N58" s="40">
        <v>0.0</v>
      </c>
      <c r="O58" s="40">
        <v>190.32</v>
      </c>
      <c r="P58" s="40">
        <v>205.4475</v>
      </c>
      <c r="Q58" s="40">
        <v>139.7639</v>
      </c>
      <c r="R58" s="36">
        <v>2500.0</v>
      </c>
      <c r="S58" s="36">
        <v>150.0</v>
      </c>
      <c r="T58" s="36">
        <v>3000.0</v>
      </c>
      <c r="U58" s="36">
        <v>300.0</v>
      </c>
      <c r="V58" s="40">
        <v>1395.0</v>
      </c>
      <c r="W58" s="40">
        <v>17749.0</v>
      </c>
      <c r="X58" s="40">
        <v>0.0</v>
      </c>
      <c r="Y58" s="40">
        <v>12951.0</v>
      </c>
      <c r="Z58" s="40">
        <v>72.9675</v>
      </c>
      <c r="AA58" s="40">
        <v>4798.0</v>
      </c>
      <c r="AB58" s="37">
        <f t="shared" si="3"/>
        <v>0.2703250887</v>
      </c>
      <c r="AC58" s="40">
        <v>175.0</v>
      </c>
      <c r="AD58" s="37">
        <f t="shared" si="4"/>
        <v>0.009859710406</v>
      </c>
      <c r="AE58" s="40">
        <v>0.0</v>
      </c>
      <c r="AF58" s="40">
        <v>0.0</v>
      </c>
      <c r="AG58" s="40">
        <v>4780.206772212519</v>
      </c>
      <c r="AH58" s="40">
        <v>17350.39999999999</v>
      </c>
      <c r="AI58" s="40">
        <v>60076.0</v>
      </c>
      <c r="AJ58" s="40">
        <v>5102.483361622172</v>
      </c>
      <c r="AK58" s="40">
        <v>62041.701781</v>
      </c>
      <c r="AL58" s="41">
        <v>3.0</v>
      </c>
      <c r="AM58" s="40">
        <v>248.0</v>
      </c>
      <c r="AN58" s="40">
        <v>82.67</v>
      </c>
      <c r="AO58" s="40">
        <v>2.5017</v>
      </c>
      <c r="AP58" s="40">
        <v>2501.7</v>
      </c>
      <c r="AQ58" s="40">
        <v>1239.1953</v>
      </c>
      <c r="AR58" s="64"/>
      <c r="AS58" s="64"/>
      <c r="AT58" s="40">
        <v>3127.0</v>
      </c>
      <c r="AU58" s="40">
        <v>1549.0</v>
      </c>
      <c r="AV58" s="40">
        <v>1626.0</v>
      </c>
      <c r="AW58" s="40">
        <v>805.0</v>
      </c>
      <c r="AX58" s="64"/>
      <c r="AY58" s="66" t="s">
        <v>567</v>
      </c>
      <c r="AZ58" s="64"/>
      <c r="BA58" s="64"/>
      <c r="BB58" s="64"/>
      <c r="BC58" s="40">
        <v>10.0</v>
      </c>
      <c r="BD58" s="40">
        <v>10.0</v>
      </c>
      <c r="BE58" s="40">
        <v>10000.0</v>
      </c>
      <c r="BF58" s="69" t="s">
        <v>370</v>
      </c>
      <c r="BG58" s="69" t="s">
        <v>563</v>
      </c>
      <c r="BH58" s="69" t="s">
        <v>388</v>
      </c>
      <c r="BI58" s="70" t="s">
        <v>373</v>
      </c>
    </row>
    <row r="59" ht="22.5" customHeight="1">
      <c r="A59" s="73" t="s">
        <v>568</v>
      </c>
      <c r="B59" s="68" t="s">
        <v>569</v>
      </c>
      <c r="C59" s="58" t="s">
        <v>50</v>
      </c>
      <c r="D59" s="58" t="s">
        <v>398</v>
      </c>
      <c r="E59" s="68" t="s">
        <v>570</v>
      </c>
      <c r="F59" s="68" t="s">
        <v>569</v>
      </c>
      <c r="G59" s="52">
        <v>100.0</v>
      </c>
      <c r="H59" s="52">
        <v>389382.2519</v>
      </c>
      <c r="I59" s="52">
        <v>51.8175</v>
      </c>
      <c r="J59" s="52">
        <v>24.7118</v>
      </c>
      <c r="K59" s="52">
        <v>1.8342</v>
      </c>
      <c r="L59" s="52">
        <v>518.8984</v>
      </c>
      <c r="M59" s="52">
        <v>0.0</v>
      </c>
      <c r="N59" s="52">
        <v>0.0</v>
      </c>
      <c r="O59" s="52">
        <v>218.98</v>
      </c>
      <c r="P59" s="52">
        <v>223.786</v>
      </c>
      <c r="Q59" s="52">
        <v>141.4214</v>
      </c>
      <c r="R59" s="49">
        <v>2500.0</v>
      </c>
      <c r="S59" s="49">
        <v>150.0</v>
      </c>
      <c r="T59" s="49">
        <v>3000.0</v>
      </c>
      <c r="U59" s="49">
        <v>300.0</v>
      </c>
      <c r="V59" s="52">
        <v>1058.0</v>
      </c>
      <c r="W59" s="52">
        <v>59056.0</v>
      </c>
      <c r="X59" s="52">
        <v>0.0</v>
      </c>
      <c r="Y59" s="52">
        <v>53532.0</v>
      </c>
      <c r="Z59" s="52">
        <v>90.6462</v>
      </c>
      <c r="AA59" s="52">
        <v>5524.0</v>
      </c>
      <c r="AB59" s="51">
        <f t="shared" si="3"/>
        <v>0.09353833649</v>
      </c>
      <c r="AC59" s="52">
        <v>244.0</v>
      </c>
      <c r="AD59" s="51">
        <f t="shared" si="4"/>
        <v>0.004131671634</v>
      </c>
      <c r="AE59" s="52">
        <v>0.0</v>
      </c>
      <c r="AF59" s="52">
        <v>0.0</v>
      </c>
      <c r="AG59" s="52">
        <v>2474.698946762395</v>
      </c>
      <c r="AH59" s="52">
        <v>10629.0</v>
      </c>
      <c r="AI59" s="52">
        <v>60259.0</v>
      </c>
      <c r="AJ59" s="52">
        <v>2586.229681411164</v>
      </c>
      <c r="AK59" s="52">
        <v>63549.824211</v>
      </c>
      <c r="AL59" s="53">
        <v>3.0</v>
      </c>
      <c r="AM59" s="52">
        <v>268.0</v>
      </c>
      <c r="AN59" s="52">
        <v>89.33</v>
      </c>
      <c r="AO59" s="52">
        <v>2.5017</v>
      </c>
      <c r="AP59" s="52">
        <v>2501.7</v>
      </c>
      <c r="AQ59" s="52">
        <v>1284.7148</v>
      </c>
      <c r="AR59" s="59"/>
      <c r="AS59" s="59"/>
      <c r="AT59" s="52">
        <v>3127.0</v>
      </c>
      <c r="AU59" s="52">
        <v>1606.0</v>
      </c>
      <c r="AV59" s="52">
        <v>1626.0</v>
      </c>
      <c r="AW59" s="52">
        <v>835.0</v>
      </c>
      <c r="AX59" s="59"/>
      <c r="AY59" s="60" t="s">
        <v>571</v>
      </c>
      <c r="AZ59" s="59"/>
      <c r="BA59" s="59"/>
      <c r="BB59" s="59"/>
      <c r="BC59" s="52">
        <v>10.0</v>
      </c>
      <c r="BD59" s="52">
        <v>10.0</v>
      </c>
      <c r="BE59" s="52">
        <v>10000.0</v>
      </c>
      <c r="BF59" s="68" t="s">
        <v>370</v>
      </c>
      <c r="BG59" s="68" t="s">
        <v>563</v>
      </c>
      <c r="BH59" s="68" t="s">
        <v>388</v>
      </c>
      <c r="BI59" s="71" t="s">
        <v>373</v>
      </c>
    </row>
    <row r="60" ht="22.5" customHeight="1">
      <c r="A60" s="72" t="s">
        <v>572</v>
      </c>
      <c r="B60" s="69" t="s">
        <v>573</v>
      </c>
      <c r="C60" s="62" t="s">
        <v>50</v>
      </c>
      <c r="D60" s="62" t="s">
        <v>404</v>
      </c>
      <c r="E60" s="69" t="s">
        <v>574</v>
      </c>
      <c r="F60" s="69" t="s">
        <v>573</v>
      </c>
      <c r="G60" s="40">
        <v>160.0</v>
      </c>
      <c r="H60" s="40">
        <v>83077.6033</v>
      </c>
      <c r="I60" s="40">
        <v>62.8036</v>
      </c>
      <c r="J60" s="40">
        <v>40.8988</v>
      </c>
      <c r="K60" s="40">
        <v>1.06</v>
      </c>
      <c r="L60" s="40">
        <v>397.3633</v>
      </c>
      <c r="M60" s="40">
        <v>0.0</v>
      </c>
      <c r="N60" s="40">
        <v>0.0</v>
      </c>
      <c r="O60" s="40">
        <v>218.98</v>
      </c>
      <c r="P60" s="40">
        <v>225.258</v>
      </c>
      <c r="Q60" s="40">
        <v>141.4214</v>
      </c>
      <c r="R60" s="36">
        <v>2500.0</v>
      </c>
      <c r="S60" s="36">
        <v>150.0</v>
      </c>
      <c r="T60" s="36">
        <v>3000.0</v>
      </c>
      <c r="U60" s="36">
        <v>300.0</v>
      </c>
      <c r="V60" s="40">
        <v>1500.0</v>
      </c>
      <c r="W60" s="40">
        <v>22010.0</v>
      </c>
      <c r="X60" s="40">
        <v>0.0</v>
      </c>
      <c r="Y60" s="40">
        <v>6696.0</v>
      </c>
      <c r="Z60" s="40">
        <v>30.4225</v>
      </c>
      <c r="AA60" s="40">
        <v>15314.0</v>
      </c>
      <c r="AB60" s="37">
        <f t="shared" si="3"/>
        <v>0.6957746479</v>
      </c>
      <c r="AC60" s="40">
        <v>582.0</v>
      </c>
      <c r="AD60" s="37">
        <f t="shared" si="4"/>
        <v>0.02644252612</v>
      </c>
      <c r="AE60" s="40">
        <v>0.0</v>
      </c>
      <c r="AF60" s="40">
        <v>0.0</v>
      </c>
      <c r="AG60" s="40">
        <v>10204.12666969559</v>
      </c>
      <c r="AH60" s="40">
        <v>26851.94999999999</v>
      </c>
      <c r="AI60" s="40">
        <v>61040.0</v>
      </c>
      <c r="AJ60" s="40">
        <v>12176.19677085664</v>
      </c>
      <c r="AK60" s="40">
        <v>75313.432296</v>
      </c>
      <c r="AL60" s="41">
        <v>3.0</v>
      </c>
      <c r="AM60" s="40">
        <v>385.0</v>
      </c>
      <c r="AN60" s="40">
        <v>128.33</v>
      </c>
      <c r="AO60" s="40">
        <v>2.5025</v>
      </c>
      <c r="AP60" s="40">
        <v>2502.5</v>
      </c>
      <c r="AQ60" s="40">
        <v>1297.2695</v>
      </c>
      <c r="AR60" s="64"/>
      <c r="AS60" s="64"/>
      <c r="AT60" s="40">
        <v>3128.0</v>
      </c>
      <c r="AU60" s="40">
        <v>1622.0</v>
      </c>
      <c r="AV60" s="40">
        <v>1627.0</v>
      </c>
      <c r="AW60" s="40">
        <v>843.0</v>
      </c>
      <c r="AX60" s="64"/>
      <c r="AY60" s="66" t="s">
        <v>575</v>
      </c>
      <c r="AZ60" s="64"/>
      <c r="BA60" s="64"/>
      <c r="BB60" s="64"/>
      <c r="BC60" s="40">
        <v>10.0</v>
      </c>
      <c r="BD60" s="40">
        <v>10.0</v>
      </c>
      <c r="BE60" s="40">
        <v>10000.0</v>
      </c>
      <c r="BF60" s="69" t="s">
        <v>370</v>
      </c>
      <c r="BG60" s="69" t="s">
        <v>563</v>
      </c>
      <c r="BH60" s="69" t="s">
        <v>388</v>
      </c>
      <c r="BI60" s="70" t="s">
        <v>373</v>
      </c>
    </row>
    <row r="61" ht="22.5" customHeight="1">
      <c r="A61" s="73" t="s">
        <v>576</v>
      </c>
      <c r="B61" s="68" t="s">
        <v>577</v>
      </c>
      <c r="C61" s="58" t="s">
        <v>50</v>
      </c>
      <c r="D61" s="58" t="s">
        <v>383</v>
      </c>
      <c r="E61" s="68" t="s">
        <v>578</v>
      </c>
      <c r="F61" s="68" t="s">
        <v>577</v>
      </c>
      <c r="G61" s="52">
        <v>130.0</v>
      </c>
      <c r="H61" s="52">
        <v>167314.6829</v>
      </c>
      <c r="I61" s="52">
        <v>22.2394</v>
      </c>
      <c r="J61" s="52">
        <v>4.9636</v>
      </c>
      <c r="K61" s="52">
        <v>1.2467</v>
      </c>
      <c r="L61" s="52">
        <v>38.9102</v>
      </c>
      <c r="M61" s="52">
        <v>0.0</v>
      </c>
      <c r="N61" s="52">
        <v>0.0</v>
      </c>
      <c r="O61" s="52">
        <v>158.88</v>
      </c>
      <c r="P61" s="52">
        <v>161.4824</v>
      </c>
      <c r="Q61" s="52">
        <v>151.8592</v>
      </c>
      <c r="R61" s="49">
        <v>2500.0</v>
      </c>
      <c r="S61" s="49">
        <v>150.0</v>
      </c>
      <c r="T61" s="49">
        <v>3000.0</v>
      </c>
      <c r="U61" s="49">
        <v>300.0</v>
      </c>
      <c r="V61" s="52">
        <v>400.0</v>
      </c>
      <c r="W61" s="52">
        <v>20399.0</v>
      </c>
      <c r="X61" s="52">
        <v>0.0</v>
      </c>
      <c r="Y61" s="52">
        <v>20399.0</v>
      </c>
      <c r="Z61" s="52">
        <v>100.0</v>
      </c>
      <c r="AA61" s="52">
        <v>0.0</v>
      </c>
      <c r="AB61" s="51">
        <f t="shared" si="3"/>
        <v>0</v>
      </c>
      <c r="AC61" s="52">
        <v>0.0</v>
      </c>
      <c r="AD61" s="51">
        <f t="shared" si="4"/>
        <v>0</v>
      </c>
      <c r="AE61" s="52">
        <v>0.0</v>
      </c>
      <c r="AF61" s="52">
        <v>0.0</v>
      </c>
      <c r="AG61" s="52">
        <v>244.7529780871611</v>
      </c>
      <c r="AH61" s="52">
        <v>449.0999999999985</v>
      </c>
      <c r="AI61" s="52">
        <v>6075.0</v>
      </c>
      <c r="AJ61" s="52">
        <v>360.6653396085608</v>
      </c>
      <c r="AK61" s="52">
        <v>6185.07736</v>
      </c>
      <c r="AL61" s="53">
        <v>6.0</v>
      </c>
      <c r="AM61" s="52">
        <v>155.0</v>
      </c>
      <c r="AN61" s="52">
        <v>25.83</v>
      </c>
      <c r="AO61" s="52">
        <v>2.3092</v>
      </c>
      <c r="AP61" s="52">
        <v>2309.2</v>
      </c>
      <c r="AQ61" s="52">
        <v>825.3594</v>
      </c>
      <c r="AR61" s="52">
        <v>64.4</v>
      </c>
      <c r="AS61" s="54">
        <v>82.0</v>
      </c>
      <c r="AT61" s="52">
        <v>2887.0</v>
      </c>
      <c r="AU61" s="52">
        <v>1032.0</v>
      </c>
      <c r="AV61" s="52">
        <v>1501.0</v>
      </c>
      <c r="AW61" s="52">
        <v>536.0</v>
      </c>
      <c r="AX61" s="59"/>
      <c r="AY61" s="60" t="s">
        <v>579</v>
      </c>
      <c r="AZ61" s="59"/>
      <c r="BA61" s="59"/>
      <c r="BB61" s="59"/>
      <c r="BC61" s="52">
        <v>10.0</v>
      </c>
      <c r="BD61" s="52">
        <v>10.0</v>
      </c>
      <c r="BE61" s="52">
        <v>10000.0</v>
      </c>
      <c r="BF61" s="68" t="s">
        <v>370</v>
      </c>
      <c r="BG61" s="68" t="s">
        <v>563</v>
      </c>
      <c r="BH61" s="68" t="s">
        <v>388</v>
      </c>
      <c r="BI61" s="71" t="s">
        <v>373</v>
      </c>
    </row>
    <row r="62" ht="22.5" customHeight="1">
      <c r="A62" s="72" t="s">
        <v>580</v>
      </c>
      <c r="B62" s="69" t="s">
        <v>581</v>
      </c>
      <c r="C62" s="62" t="s">
        <v>50</v>
      </c>
      <c r="D62" s="62" t="s">
        <v>391</v>
      </c>
      <c r="E62" s="69" t="s">
        <v>582</v>
      </c>
      <c r="F62" s="69" t="s">
        <v>581</v>
      </c>
      <c r="G62" s="40">
        <v>130.0</v>
      </c>
      <c r="H62" s="40">
        <v>159645.2781</v>
      </c>
      <c r="I62" s="40">
        <v>22.2681</v>
      </c>
      <c r="J62" s="40">
        <v>9.4607</v>
      </c>
      <c r="K62" s="40">
        <v>1.2467</v>
      </c>
      <c r="L62" s="40">
        <v>40.707</v>
      </c>
      <c r="M62" s="40">
        <v>0.0</v>
      </c>
      <c r="N62" s="40">
        <v>0.0</v>
      </c>
      <c r="O62" s="40">
        <v>158.33</v>
      </c>
      <c r="P62" s="40">
        <v>162.155</v>
      </c>
      <c r="Q62" s="40">
        <v>175.4993</v>
      </c>
      <c r="R62" s="36">
        <v>2500.0</v>
      </c>
      <c r="S62" s="36">
        <v>150.0</v>
      </c>
      <c r="T62" s="36">
        <v>3000.0</v>
      </c>
      <c r="U62" s="36">
        <v>300.0</v>
      </c>
      <c r="V62" s="40">
        <v>400.0</v>
      </c>
      <c r="W62" s="40">
        <v>19492.0</v>
      </c>
      <c r="X62" s="40">
        <v>0.0</v>
      </c>
      <c r="Y62" s="40">
        <v>19492.0</v>
      </c>
      <c r="Z62" s="40">
        <v>100.0</v>
      </c>
      <c r="AA62" s="40">
        <v>0.0</v>
      </c>
      <c r="AB62" s="37">
        <f t="shared" si="3"/>
        <v>0</v>
      </c>
      <c r="AC62" s="40">
        <v>0.0</v>
      </c>
      <c r="AD62" s="37">
        <f t="shared" si="4"/>
        <v>0</v>
      </c>
      <c r="AE62" s="40">
        <v>0.0</v>
      </c>
      <c r="AF62" s="40">
        <v>0.0</v>
      </c>
      <c r="AG62" s="40">
        <v>269.9190437102401</v>
      </c>
      <c r="AH62" s="40">
        <v>542.0</v>
      </c>
      <c r="AI62" s="40">
        <v>9204.0</v>
      </c>
      <c r="AJ62" s="40">
        <v>398.8685435302673</v>
      </c>
      <c r="AK62" s="40">
        <v>9295.152594</v>
      </c>
      <c r="AL62" s="41">
        <v>6.0</v>
      </c>
      <c r="AM62" s="40">
        <v>171.0</v>
      </c>
      <c r="AN62" s="40">
        <v>28.5</v>
      </c>
      <c r="AO62" s="40">
        <v>2.3579</v>
      </c>
      <c r="AP62" s="40">
        <v>2357.9</v>
      </c>
      <c r="AQ62" s="40">
        <v>825.3594</v>
      </c>
      <c r="AR62" s="74">
        <v>59.0</v>
      </c>
      <c r="AS62" s="42">
        <v>82.6</v>
      </c>
      <c r="AT62" s="40">
        <v>2947.0</v>
      </c>
      <c r="AU62" s="40">
        <v>1032.0</v>
      </c>
      <c r="AV62" s="40">
        <v>1533.0</v>
      </c>
      <c r="AW62" s="40">
        <v>536.0</v>
      </c>
      <c r="AX62" s="64"/>
      <c r="AY62" s="66" t="s">
        <v>583</v>
      </c>
      <c r="AZ62" s="64"/>
      <c r="BA62" s="64"/>
      <c r="BB62" s="64"/>
      <c r="BC62" s="40">
        <v>10.0</v>
      </c>
      <c r="BD62" s="40">
        <v>10.0</v>
      </c>
      <c r="BE62" s="40">
        <v>10000.0</v>
      </c>
      <c r="BF62" s="69" t="s">
        <v>370</v>
      </c>
      <c r="BG62" s="69" t="s">
        <v>563</v>
      </c>
      <c r="BH62" s="69" t="s">
        <v>388</v>
      </c>
      <c r="BI62" s="70" t="s">
        <v>373</v>
      </c>
    </row>
    <row r="63" ht="22.5" customHeight="1">
      <c r="A63" s="73" t="s">
        <v>584</v>
      </c>
      <c r="B63" s="68" t="s">
        <v>585</v>
      </c>
      <c r="C63" s="58" t="s">
        <v>50</v>
      </c>
      <c r="D63" s="58" t="s">
        <v>398</v>
      </c>
      <c r="E63" s="68" t="s">
        <v>586</v>
      </c>
      <c r="F63" s="68" t="s">
        <v>585</v>
      </c>
      <c r="G63" s="52">
        <v>100.0</v>
      </c>
      <c r="H63" s="52">
        <v>484090.0298</v>
      </c>
      <c r="I63" s="52">
        <v>13.4763</v>
      </c>
      <c r="J63" s="52">
        <v>5.1273</v>
      </c>
      <c r="K63" s="52">
        <v>1.2467</v>
      </c>
      <c r="L63" s="52">
        <v>60.625</v>
      </c>
      <c r="M63" s="52">
        <v>0.0</v>
      </c>
      <c r="N63" s="52">
        <v>0.0</v>
      </c>
      <c r="O63" s="52">
        <v>160.42</v>
      </c>
      <c r="P63" s="52">
        <v>161.4824</v>
      </c>
      <c r="Q63" s="52">
        <v>223.6068</v>
      </c>
      <c r="R63" s="49">
        <v>2500.0</v>
      </c>
      <c r="S63" s="49">
        <v>150.0</v>
      </c>
      <c r="T63" s="49">
        <v>3000.0</v>
      </c>
      <c r="U63" s="49">
        <v>300.0</v>
      </c>
      <c r="V63" s="52">
        <v>400.0</v>
      </c>
      <c r="W63" s="52">
        <v>59999.0</v>
      </c>
      <c r="X63" s="52">
        <v>0.0</v>
      </c>
      <c r="Y63" s="52">
        <v>59994.0</v>
      </c>
      <c r="Z63" s="52">
        <v>99.9917</v>
      </c>
      <c r="AA63" s="52">
        <v>5.0</v>
      </c>
      <c r="AB63" s="51">
        <f t="shared" si="3"/>
        <v>0.00008333472225</v>
      </c>
      <c r="AC63" s="52">
        <v>0.0</v>
      </c>
      <c r="AD63" s="51">
        <f t="shared" si="4"/>
        <v>0</v>
      </c>
      <c r="AE63" s="52">
        <v>0.0</v>
      </c>
      <c r="AF63" s="52">
        <v>0.0</v>
      </c>
      <c r="AG63" s="52">
        <v>164.0728512141869</v>
      </c>
      <c r="AH63" s="52">
        <v>224.0</v>
      </c>
      <c r="AI63" s="52">
        <v>11204.0</v>
      </c>
      <c r="AJ63" s="52">
        <v>226.7451705619457</v>
      </c>
      <c r="AK63" s="52">
        <v>11317.370807</v>
      </c>
      <c r="AL63" s="53">
        <v>6.0</v>
      </c>
      <c r="AM63" s="52">
        <v>111.0</v>
      </c>
      <c r="AN63" s="52">
        <v>18.5</v>
      </c>
      <c r="AO63" s="52">
        <v>2.333</v>
      </c>
      <c r="AP63" s="52">
        <v>2333.0</v>
      </c>
      <c r="AQ63" s="52">
        <v>836.9805</v>
      </c>
      <c r="AR63" s="59"/>
      <c r="AS63" s="59"/>
      <c r="AT63" s="52">
        <v>2916.0</v>
      </c>
      <c r="AU63" s="52">
        <v>1046.0</v>
      </c>
      <c r="AV63" s="52">
        <v>1516.0</v>
      </c>
      <c r="AW63" s="52">
        <v>544.0</v>
      </c>
      <c r="AX63" s="59"/>
      <c r="AY63" s="60" t="s">
        <v>587</v>
      </c>
      <c r="AZ63" s="59"/>
      <c r="BA63" s="59"/>
      <c r="BB63" s="59"/>
      <c r="BC63" s="52">
        <v>10.0</v>
      </c>
      <c r="BD63" s="52">
        <v>10.0</v>
      </c>
      <c r="BE63" s="52">
        <v>10000.0</v>
      </c>
      <c r="BF63" s="68" t="s">
        <v>370</v>
      </c>
      <c r="BG63" s="68" t="s">
        <v>563</v>
      </c>
      <c r="BH63" s="68" t="s">
        <v>388</v>
      </c>
      <c r="BI63" s="71" t="s">
        <v>373</v>
      </c>
    </row>
    <row r="64" ht="22.5" customHeight="1">
      <c r="A64" s="72" t="s">
        <v>588</v>
      </c>
      <c r="B64" s="69" t="s">
        <v>589</v>
      </c>
      <c r="C64" s="62" t="s">
        <v>50</v>
      </c>
      <c r="D64" s="62" t="s">
        <v>404</v>
      </c>
      <c r="E64" s="69" t="s">
        <v>590</v>
      </c>
      <c r="F64" s="69" t="s">
        <v>589</v>
      </c>
      <c r="G64" s="40">
        <v>160.0</v>
      </c>
      <c r="H64" s="40">
        <v>209011.8857</v>
      </c>
      <c r="I64" s="40">
        <v>43.3686</v>
      </c>
      <c r="J64" s="40">
        <v>16.7265</v>
      </c>
      <c r="K64" s="40">
        <v>1.4983</v>
      </c>
      <c r="L64" s="40">
        <v>93.3359</v>
      </c>
      <c r="M64" s="40">
        <v>0.0</v>
      </c>
      <c r="N64" s="40">
        <v>0.0</v>
      </c>
      <c r="O64" s="40">
        <v>170.4766</v>
      </c>
      <c r="P64" s="40">
        <v>173.925</v>
      </c>
      <c r="Q64" s="40">
        <v>66.3083</v>
      </c>
      <c r="R64" s="36">
        <v>2500.0</v>
      </c>
      <c r="S64" s="36">
        <v>150.0</v>
      </c>
      <c r="T64" s="36">
        <v>3000.0</v>
      </c>
      <c r="U64" s="36">
        <v>300.0</v>
      </c>
      <c r="V64" s="40">
        <v>449.0</v>
      </c>
      <c r="W64" s="40">
        <v>25397.0</v>
      </c>
      <c r="X64" s="40">
        <v>0.0</v>
      </c>
      <c r="Y64" s="40">
        <v>25397.0</v>
      </c>
      <c r="Z64" s="40">
        <v>100.0</v>
      </c>
      <c r="AA64" s="40">
        <v>0.0</v>
      </c>
      <c r="AB64" s="37">
        <f t="shared" si="3"/>
        <v>0</v>
      </c>
      <c r="AC64" s="40">
        <v>0.0</v>
      </c>
      <c r="AD64" s="37">
        <f t="shared" si="4"/>
        <v>0</v>
      </c>
      <c r="AE64" s="40">
        <v>0.0</v>
      </c>
      <c r="AF64" s="40">
        <v>0.0</v>
      </c>
      <c r="AG64" s="40">
        <v>657.8511241485215</v>
      </c>
      <c r="AH64" s="40">
        <v>1482.199999999997</v>
      </c>
      <c r="AI64" s="40">
        <v>7156.0</v>
      </c>
      <c r="AJ64" s="40">
        <v>1481.900915791673</v>
      </c>
      <c r="AK64" s="40">
        <v>9311.655322</v>
      </c>
      <c r="AL64" s="41">
        <v>6.0</v>
      </c>
      <c r="AM64" s="40">
        <v>335.0</v>
      </c>
      <c r="AN64" s="40">
        <v>55.83</v>
      </c>
      <c r="AO64" s="40">
        <v>2.3365</v>
      </c>
      <c r="AP64" s="40">
        <v>2336.5</v>
      </c>
      <c r="AQ64" s="40">
        <v>930.0898</v>
      </c>
      <c r="AR64" s="64"/>
      <c r="AS64" s="64"/>
      <c r="AT64" s="40">
        <v>2921.0</v>
      </c>
      <c r="AU64" s="40">
        <v>1163.0</v>
      </c>
      <c r="AV64" s="40">
        <v>1519.0</v>
      </c>
      <c r="AW64" s="40">
        <v>605.0</v>
      </c>
      <c r="AX64" s="64"/>
      <c r="AY64" s="66" t="s">
        <v>591</v>
      </c>
      <c r="AZ64" s="64"/>
      <c r="BA64" s="64"/>
      <c r="BB64" s="64"/>
      <c r="BC64" s="40">
        <v>10.0</v>
      </c>
      <c r="BD64" s="40">
        <v>10.0</v>
      </c>
      <c r="BE64" s="40">
        <v>10000.0</v>
      </c>
      <c r="BF64" s="69" t="s">
        <v>370</v>
      </c>
      <c r="BG64" s="69" t="s">
        <v>563</v>
      </c>
      <c r="BH64" s="69" t="s">
        <v>388</v>
      </c>
      <c r="BI64" s="70" t="s">
        <v>373</v>
      </c>
    </row>
    <row r="65" ht="22.5" customHeight="1">
      <c r="A65" s="73" t="s">
        <v>592</v>
      </c>
      <c r="B65" s="68" t="s">
        <v>593</v>
      </c>
      <c r="C65" s="58" t="s">
        <v>50</v>
      </c>
      <c r="D65" s="58" t="s">
        <v>383</v>
      </c>
      <c r="E65" s="68" t="s">
        <v>594</v>
      </c>
      <c r="F65" s="68" t="s">
        <v>593</v>
      </c>
      <c r="G65" s="52">
        <v>130.0</v>
      </c>
      <c r="H65" s="52">
        <v>167191.7561</v>
      </c>
      <c r="I65" s="52">
        <v>5.7847</v>
      </c>
      <c r="J65" s="52">
        <v>0.9717</v>
      </c>
      <c r="K65" s="52">
        <v>1.0467</v>
      </c>
      <c r="L65" s="52">
        <v>56.1055</v>
      </c>
      <c r="M65" s="52">
        <v>0.0</v>
      </c>
      <c r="N65" s="52">
        <v>0.0</v>
      </c>
      <c r="O65" s="52">
        <v>103.6</v>
      </c>
      <c r="P65" s="52">
        <v>106.932</v>
      </c>
      <c r="Q65" s="52">
        <v>20.5977</v>
      </c>
      <c r="R65" s="49">
        <v>2500.0</v>
      </c>
      <c r="S65" s="49">
        <v>150.0</v>
      </c>
      <c r="T65" s="49">
        <v>3000.0</v>
      </c>
      <c r="U65" s="49">
        <v>300.0</v>
      </c>
      <c r="V65" s="52">
        <v>400.0</v>
      </c>
      <c r="W65" s="52">
        <v>20399.0</v>
      </c>
      <c r="X65" s="52">
        <v>0.0</v>
      </c>
      <c r="Y65" s="52">
        <v>20397.0</v>
      </c>
      <c r="Z65" s="52">
        <v>99.9902</v>
      </c>
      <c r="AA65" s="52">
        <v>2.0</v>
      </c>
      <c r="AB65" s="51">
        <f t="shared" si="3"/>
        <v>0.00009804402177</v>
      </c>
      <c r="AC65" s="52">
        <v>0.0</v>
      </c>
      <c r="AD65" s="51">
        <f t="shared" si="4"/>
        <v>0</v>
      </c>
      <c r="AE65" s="52">
        <v>0.0</v>
      </c>
      <c r="AF65" s="52">
        <v>0.0</v>
      </c>
      <c r="AG65" s="52">
        <v>179.347418991127</v>
      </c>
      <c r="AH65" s="52">
        <v>266.0</v>
      </c>
      <c r="AI65" s="52">
        <v>11262.0</v>
      </c>
      <c r="AJ65" s="52">
        <v>271.8699785311538</v>
      </c>
      <c r="AK65" s="52">
        <v>11397.158264</v>
      </c>
      <c r="AL65" s="53">
        <v>9.0</v>
      </c>
      <c r="AM65" s="52">
        <v>145.0</v>
      </c>
      <c r="AN65" s="52">
        <v>16.11</v>
      </c>
      <c r="AO65" s="52">
        <v>1.8028</v>
      </c>
      <c r="AP65" s="52">
        <v>1802.8</v>
      </c>
      <c r="AQ65" s="52">
        <v>756.832</v>
      </c>
      <c r="AR65" s="52">
        <v>64.7</v>
      </c>
      <c r="AS65" s="54">
        <v>84.4</v>
      </c>
      <c r="AT65" s="52">
        <v>2254.0</v>
      </c>
      <c r="AU65" s="52">
        <v>946.0</v>
      </c>
      <c r="AV65" s="52">
        <v>1172.0</v>
      </c>
      <c r="AW65" s="52">
        <v>492.0</v>
      </c>
      <c r="AX65" s="59"/>
      <c r="AY65" s="60" t="s">
        <v>595</v>
      </c>
      <c r="AZ65" s="59"/>
      <c r="BA65" s="59"/>
      <c r="BB65" s="59"/>
      <c r="BC65" s="52">
        <v>10.0</v>
      </c>
      <c r="BD65" s="52">
        <v>10.0</v>
      </c>
      <c r="BE65" s="52">
        <v>10000.0</v>
      </c>
      <c r="BF65" s="68" t="s">
        <v>370</v>
      </c>
      <c r="BG65" s="68" t="s">
        <v>563</v>
      </c>
      <c r="BH65" s="68" t="s">
        <v>388</v>
      </c>
      <c r="BI65" s="71" t="s">
        <v>373</v>
      </c>
    </row>
    <row r="66" ht="22.5" customHeight="1">
      <c r="A66" s="72" t="s">
        <v>596</v>
      </c>
      <c r="B66" s="69" t="s">
        <v>597</v>
      </c>
      <c r="C66" s="62" t="s">
        <v>50</v>
      </c>
      <c r="D66" s="62" t="s">
        <v>391</v>
      </c>
      <c r="E66" s="69" t="s">
        <v>598</v>
      </c>
      <c r="F66" s="69" t="s">
        <v>597</v>
      </c>
      <c r="G66" s="40">
        <v>130.0</v>
      </c>
      <c r="H66" s="40">
        <v>158859.1914</v>
      </c>
      <c r="I66" s="40">
        <v>5.177</v>
      </c>
      <c r="J66" s="40">
        <v>0.877</v>
      </c>
      <c r="K66" s="40">
        <v>1.2942</v>
      </c>
      <c r="L66" s="40">
        <v>44.4688</v>
      </c>
      <c r="M66" s="40">
        <v>0.0</v>
      </c>
      <c r="N66" s="40">
        <v>0.0</v>
      </c>
      <c r="O66" s="40">
        <v>103.0</v>
      </c>
      <c r="P66" s="40">
        <v>106.932</v>
      </c>
      <c r="Q66" s="40">
        <v>25.8161</v>
      </c>
      <c r="R66" s="36">
        <v>2500.0</v>
      </c>
      <c r="S66" s="36">
        <v>150.0</v>
      </c>
      <c r="T66" s="36">
        <v>3000.0</v>
      </c>
      <c r="U66" s="36">
        <v>300.0</v>
      </c>
      <c r="V66" s="40">
        <v>401.0</v>
      </c>
      <c r="W66" s="40">
        <v>19437.0</v>
      </c>
      <c r="X66" s="40">
        <v>0.0</v>
      </c>
      <c r="Y66" s="40">
        <v>19436.0</v>
      </c>
      <c r="Z66" s="40">
        <v>99.9949</v>
      </c>
      <c r="AA66" s="40">
        <v>1.0</v>
      </c>
      <c r="AB66" s="37">
        <f t="shared" si="3"/>
        <v>0.00005144826877</v>
      </c>
      <c r="AC66" s="40">
        <v>0.0</v>
      </c>
      <c r="AD66" s="37">
        <f t="shared" si="4"/>
        <v>0</v>
      </c>
      <c r="AE66" s="40">
        <v>0.0</v>
      </c>
      <c r="AF66" s="40">
        <v>0.0</v>
      </c>
      <c r="AG66" s="40">
        <v>246.2435046560683</v>
      </c>
      <c r="AH66" s="40">
        <v>676.0</v>
      </c>
      <c r="AI66" s="40">
        <v>11164.0</v>
      </c>
      <c r="AJ66" s="40">
        <v>445.8572462856425</v>
      </c>
      <c r="AK66" s="40">
        <v>11267.669133</v>
      </c>
      <c r="AL66" s="41">
        <v>9.0</v>
      </c>
      <c r="AM66" s="40">
        <v>187.0</v>
      </c>
      <c r="AN66" s="40">
        <v>20.78</v>
      </c>
      <c r="AO66" s="40">
        <v>1.846</v>
      </c>
      <c r="AP66" s="40">
        <v>1846.0</v>
      </c>
      <c r="AQ66" s="40">
        <v>766.3516</v>
      </c>
      <c r="AR66" s="40">
        <v>61.8</v>
      </c>
      <c r="AS66" s="42">
        <v>85.2</v>
      </c>
      <c r="AT66" s="40">
        <v>2308.0</v>
      </c>
      <c r="AU66" s="40">
        <v>958.0</v>
      </c>
      <c r="AV66" s="40">
        <v>1200.0</v>
      </c>
      <c r="AW66" s="40">
        <v>498.0</v>
      </c>
      <c r="AX66" s="64"/>
      <c r="AY66" s="66" t="s">
        <v>599</v>
      </c>
      <c r="AZ66" s="64"/>
      <c r="BA66" s="64"/>
      <c r="BB66" s="64"/>
      <c r="BC66" s="40">
        <v>10.0</v>
      </c>
      <c r="BD66" s="40">
        <v>10.0</v>
      </c>
      <c r="BE66" s="40">
        <v>10000.0</v>
      </c>
      <c r="BF66" s="69" t="s">
        <v>370</v>
      </c>
      <c r="BG66" s="69" t="s">
        <v>563</v>
      </c>
      <c r="BH66" s="69" t="s">
        <v>388</v>
      </c>
      <c r="BI66" s="70" t="s">
        <v>373</v>
      </c>
    </row>
    <row r="67" ht="22.5" customHeight="1">
      <c r="A67" s="73" t="s">
        <v>600</v>
      </c>
      <c r="B67" s="68" t="s">
        <v>601</v>
      </c>
      <c r="C67" s="58" t="s">
        <v>50</v>
      </c>
      <c r="D67" s="58" t="s">
        <v>398</v>
      </c>
      <c r="E67" s="68" t="s">
        <v>602</v>
      </c>
      <c r="F67" s="68" t="s">
        <v>601</v>
      </c>
      <c r="G67" s="52">
        <v>100.0</v>
      </c>
      <c r="H67" s="52">
        <v>484109.1893</v>
      </c>
      <c r="I67" s="52">
        <v>3.3652</v>
      </c>
      <c r="J67" s="52">
        <v>0.8407</v>
      </c>
      <c r="K67" s="52">
        <v>1.4783</v>
      </c>
      <c r="L67" s="52">
        <v>56.1055</v>
      </c>
      <c r="M67" s="52">
        <v>0.0</v>
      </c>
      <c r="N67" s="52">
        <v>0.0</v>
      </c>
      <c r="O67" s="52">
        <v>104.8</v>
      </c>
      <c r="P67" s="52">
        <v>107.028</v>
      </c>
      <c r="Q67" s="52">
        <v>49.2376</v>
      </c>
      <c r="R67" s="49">
        <v>2500.0</v>
      </c>
      <c r="S67" s="49">
        <v>150.0</v>
      </c>
      <c r="T67" s="49">
        <v>3000.0</v>
      </c>
      <c r="U67" s="49">
        <v>300.0</v>
      </c>
      <c r="V67" s="52">
        <v>400.0</v>
      </c>
      <c r="W67" s="52">
        <v>59999.0</v>
      </c>
      <c r="X67" s="52">
        <v>0.0</v>
      </c>
      <c r="Y67" s="52">
        <v>59997.0</v>
      </c>
      <c r="Z67" s="52">
        <v>99.9967</v>
      </c>
      <c r="AA67" s="52">
        <v>2.0</v>
      </c>
      <c r="AB67" s="51">
        <f t="shared" si="3"/>
        <v>0.0000333338889</v>
      </c>
      <c r="AC67" s="52">
        <v>0.0</v>
      </c>
      <c r="AD67" s="51">
        <f t="shared" si="4"/>
        <v>0</v>
      </c>
      <c r="AE67" s="52">
        <v>0.0</v>
      </c>
      <c r="AF67" s="52">
        <v>0.0</v>
      </c>
      <c r="AG67" s="52">
        <v>153.9190486508109</v>
      </c>
      <c r="AH67" s="52">
        <v>192.0</v>
      </c>
      <c r="AI67" s="52">
        <v>11145.0</v>
      </c>
      <c r="AJ67" s="52">
        <v>215.3661914382556</v>
      </c>
      <c r="AK67" s="52">
        <v>11231.319638</v>
      </c>
      <c r="AL67" s="53">
        <v>9.0</v>
      </c>
      <c r="AM67" s="52">
        <v>110.0</v>
      </c>
      <c r="AN67" s="52">
        <v>12.22</v>
      </c>
      <c r="AO67" s="52">
        <v>1.846</v>
      </c>
      <c r="AP67" s="52">
        <v>1846.0</v>
      </c>
      <c r="AQ67" s="52">
        <v>800.9648</v>
      </c>
      <c r="AR67" s="52">
        <v>60.5</v>
      </c>
      <c r="AS67" s="54">
        <v>84.2</v>
      </c>
      <c r="AT67" s="52">
        <v>2308.0</v>
      </c>
      <c r="AU67" s="52">
        <v>1001.0</v>
      </c>
      <c r="AV67" s="52">
        <v>1200.0</v>
      </c>
      <c r="AW67" s="52">
        <v>521.0</v>
      </c>
      <c r="AX67" s="59"/>
      <c r="AY67" s="60" t="s">
        <v>603</v>
      </c>
      <c r="AZ67" s="59"/>
      <c r="BA67" s="59"/>
      <c r="BB67" s="59"/>
      <c r="BC67" s="52">
        <v>10.0</v>
      </c>
      <c r="BD67" s="52">
        <v>10.0</v>
      </c>
      <c r="BE67" s="52">
        <v>10000.0</v>
      </c>
      <c r="BF67" s="68" t="s">
        <v>370</v>
      </c>
      <c r="BG67" s="68" t="s">
        <v>563</v>
      </c>
      <c r="BH67" s="68" t="s">
        <v>388</v>
      </c>
      <c r="BI67" s="71" t="s">
        <v>373</v>
      </c>
    </row>
    <row r="68" ht="22.5" customHeight="1">
      <c r="A68" s="72" t="s">
        <v>604</v>
      </c>
      <c r="B68" s="69" t="s">
        <v>605</v>
      </c>
      <c r="C68" s="62" t="s">
        <v>50</v>
      </c>
      <c r="D68" s="62" t="s">
        <v>404</v>
      </c>
      <c r="E68" s="69" t="s">
        <v>606</v>
      </c>
      <c r="F68" s="69" t="s">
        <v>605</v>
      </c>
      <c r="G68" s="40">
        <v>160.0</v>
      </c>
      <c r="H68" s="40">
        <v>207391.8857</v>
      </c>
      <c r="I68" s="40">
        <v>12.3091</v>
      </c>
      <c r="J68" s="40">
        <v>3.4998</v>
      </c>
      <c r="K68" s="40">
        <v>1.7967</v>
      </c>
      <c r="L68" s="40">
        <v>45.3164</v>
      </c>
      <c r="M68" s="40">
        <v>0.0</v>
      </c>
      <c r="N68" s="40">
        <v>0.0</v>
      </c>
      <c r="O68" s="40">
        <v>112.78</v>
      </c>
      <c r="P68" s="40">
        <v>116.7722</v>
      </c>
      <c r="Q68" s="40">
        <v>57.8779</v>
      </c>
      <c r="R68" s="36">
        <v>2500.0</v>
      </c>
      <c r="S68" s="36">
        <v>150.0</v>
      </c>
      <c r="T68" s="36">
        <v>3000.0</v>
      </c>
      <c r="U68" s="36">
        <v>300.0</v>
      </c>
      <c r="V68" s="40">
        <v>477.0</v>
      </c>
      <c r="W68" s="40">
        <v>25199.0</v>
      </c>
      <c r="X68" s="40">
        <v>0.0</v>
      </c>
      <c r="Y68" s="40">
        <v>25198.0</v>
      </c>
      <c r="Z68" s="40">
        <v>99.996</v>
      </c>
      <c r="AA68" s="40">
        <v>1.0</v>
      </c>
      <c r="AB68" s="37">
        <f t="shared" si="3"/>
        <v>0.00003968411445</v>
      </c>
      <c r="AC68" s="40">
        <v>0.0</v>
      </c>
      <c r="AD68" s="37">
        <f t="shared" si="4"/>
        <v>0</v>
      </c>
      <c r="AE68" s="40">
        <v>0.0</v>
      </c>
      <c r="AF68" s="40">
        <v>0.0</v>
      </c>
      <c r="AG68" s="40">
        <v>678.6995118853923</v>
      </c>
      <c r="AH68" s="40">
        <v>1507.099999999999</v>
      </c>
      <c r="AI68" s="40">
        <v>11776.0</v>
      </c>
      <c r="AJ68" s="40">
        <v>1662.663656988493</v>
      </c>
      <c r="AK68" s="40">
        <v>13371.474674</v>
      </c>
      <c r="AL68" s="41">
        <v>9.0</v>
      </c>
      <c r="AM68" s="40">
        <v>292.0</v>
      </c>
      <c r="AN68" s="40">
        <v>32.44</v>
      </c>
      <c r="AO68" s="40">
        <v>1.8669</v>
      </c>
      <c r="AP68" s="40">
        <v>1866.9</v>
      </c>
      <c r="AQ68" s="40">
        <v>835.875</v>
      </c>
      <c r="AR68" s="40">
        <v>70.4</v>
      </c>
      <c r="AS68" s="42">
        <v>85.1</v>
      </c>
      <c r="AT68" s="40">
        <v>2334.0</v>
      </c>
      <c r="AU68" s="40">
        <v>1045.0</v>
      </c>
      <c r="AV68" s="40">
        <v>1213.0</v>
      </c>
      <c r="AW68" s="40">
        <v>543.0</v>
      </c>
      <c r="AX68" s="64"/>
      <c r="AY68" s="66" t="s">
        <v>607</v>
      </c>
      <c r="AZ68" s="64"/>
      <c r="BA68" s="64"/>
      <c r="BB68" s="64"/>
      <c r="BC68" s="40">
        <v>10.0</v>
      </c>
      <c r="BD68" s="40">
        <v>10.0</v>
      </c>
      <c r="BE68" s="40">
        <v>10000.0</v>
      </c>
      <c r="BF68" s="69" t="s">
        <v>370</v>
      </c>
      <c r="BG68" s="69" t="s">
        <v>563</v>
      </c>
      <c r="BH68" s="69" t="s">
        <v>388</v>
      </c>
      <c r="BI68" s="70" t="s">
        <v>373</v>
      </c>
    </row>
    <row r="69" ht="22.5" customHeight="1">
      <c r="A69" s="73" t="s">
        <v>608</v>
      </c>
      <c r="B69" s="68" t="s">
        <v>609</v>
      </c>
      <c r="C69" s="58" t="s">
        <v>50</v>
      </c>
      <c r="D69" s="58" t="s">
        <v>383</v>
      </c>
      <c r="E69" s="68" t="s">
        <v>610</v>
      </c>
      <c r="F69" s="68" t="s">
        <v>609</v>
      </c>
      <c r="G69" s="52">
        <v>130.0</v>
      </c>
      <c r="H69" s="52">
        <v>105315.5499</v>
      </c>
      <c r="I69" s="52">
        <v>47.3146</v>
      </c>
      <c r="J69" s="52">
        <v>18.8935</v>
      </c>
      <c r="K69" s="52">
        <v>0.7275</v>
      </c>
      <c r="L69" s="52">
        <v>425.7734</v>
      </c>
      <c r="M69" s="52">
        <v>0.0</v>
      </c>
      <c r="N69" s="52">
        <v>0.0</v>
      </c>
      <c r="O69" s="52">
        <v>169.62</v>
      </c>
      <c r="P69" s="52">
        <v>198.42</v>
      </c>
      <c r="Q69" s="52">
        <v>139.5857</v>
      </c>
      <c r="R69" s="49">
        <v>2500.0</v>
      </c>
      <c r="S69" s="49">
        <v>150.0</v>
      </c>
      <c r="T69" s="49">
        <v>3000.0</v>
      </c>
      <c r="U69" s="49">
        <v>300.0</v>
      </c>
      <c r="V69" s="52">
        <v>1357.0</v>
      </c>
      <c r="W69" s="52">
        <v>18372.0</v>
      </c>
      <c r="X69" s="52">
        <v>0.0</v>
      </c>
      <c r="Y69" s="52">
        <v>12246.0</v>
      </c>
      <c r="Z69" s="52">
        <v>66.6558</v>
      </c>
      <c r="AA69" s="52">
        <v>6126.0</v>
      </c>
      <c r="AB69" s="51">
        <f t="shared" si="3"/>
        <v>0.3334421946</v>
      </c>
      <c r="AC69" s="52">
        <v>215.0</v>
      </c>
      <c r="AD69" s="51">
        <f t="shared" si="4"/>
        <v>0.0117025909</v>
      </c>
      <c r="AE69" s="52">
        <v>0.0</v>
      </c>
      <c r="AF69" s="52">
        <v>0.0</v>
      </c>
      <c r="AG69" s="52">
        <v>5802.097267581102</v>
      </c>
      <c r="AH69" s="52">
        <v>17919.35</v>
      </c>
      <c r="AI69" s="52">
        <v>60636.0</v>
      </c>
      <c r="AJ69" s="52">
        <v>6368.886137067084</v>
      </c>
      <c r="AK69" s="52">
        <v>69407.613797</v>
      </c>
      <c r="AL69" s="53">
        <v>3.0</v>
      </c>
      <c r="AM69" s="52">
        <v>353.0</v>
      </c>
      <c r="AN69" s="52">
        <v>117.67</v>
      </c>
      <c r="AO69" s="52">
        <v>2.4822</v>
      </c>
      <c r="AP69" s="52">
        <v>2482.2</v>
      </c>
      <c r="AQ69" s="52">
        <v>1071.2227</v>
      </c>
      <c r="AR69" s="59"/>
      <c r="AS69" s="59"/>
      <c r="AT69" s="52">
        <v>3103.0</v>
      </c>
      <c r="AU69" s="52">
        <v>1339.0</v>
      </c>
      <c r="AV69" s="52">
        <v>1613.0</v>
      </c>
      <c r="AW69" s="52">
        <v>696.0</v>
      </c>
      <c r="AX69" s="59"/>
      <c r="AY69" s="60" t="s">
        <v>611</v>
      </c>
      <c r="AZ69" s="59"/>
      <c r="BA69" s="59"/>
      <c r="BB69" s="59"/>
      <c r="BC69" s="52">
        <v>10.0</v>
      </c>
      <c r="BD69" s="52">
        <v>10.0</v>
      </c>
      <c r="BE69" s="52">
        <v>10000.0</v>
      </c>
      <c r="BF69" s="68" t="s">
        <v>370</v>
      </c>
      <c r="BG69" s="68" t="s">
        <v>563</v>
      </c>
      <c r="BH69" s="68" t="s">
        <v>487</v>
      </c>
      <c r="BI69" s="71" t="s">
        <v>373</v>
      </c>
    </row>
    <row r="70" ht="22.5" customHeight="1">
      <c r="A70" s="72" t="s">
        <v>612</v>
      </c>
      <c r="B70" s="69" t="s">
        <v>613</v>
      </c>
      <c r="C70" s="62" t="s">
        <v>50</v>
      </c>
      <c r="D70" s="62" t="s">
        <v>391</v>
      </c>
      <c r="E70" s="69" t="s">
        <v>614</v>
      </c>
      <c r="F70" s="69" t="s">
        <v>613</v>
      </c>
      <c r="G70" s="40">
        <v>130.0</v>
      </c>
      <c r="H70" s="40">
        <v>106287.6957</v>
      </c>
      <c r="I70" s="40">
        <v>47.8242</v>
      </c>
      <c r="J70" s="40">
        <v>40.9802</v>
      </c>
      <c r="K70" s="40">
        <v>0.7408</v>
      </c>
      <c r="L70" s="40">
        <v>425.7734</v>
      </c>
      <c r="M70" s="40">
        <v>0.0</v>
      </c>
      <c r="N70" s="40">
        <v>0.0</v>
      </c>
      <c r="O70" s="40">
        <v>186.44</v>
      </c>
      <c r="P70" s="40">
        <v>226.274</v>
      </c>
      <c r="Q70" s="40">
        <v>141.4214</v>
      </c>
      <c r="R70" s="36">
        <v>2500.0</v>
      </c>
      <c r="S70" s="36">
        <v>150.0</v>
      </c>
      <c r="T70" s="36">
        <v>3000.0</v>
      </c>
      <c r="U70" s="36">
        <v>300.0</v>
      </c>
      <c r="V70" s="40">
        <v>1423.0</v>
      </c>
      <c r="W70" s="40">
        <v>17545.0</v>
      </c>
      <c r="X70" s="40">
        <v>0.0</v>
      </c>
      <c r="Y70" s="40">
        <v>12853.0</v>
      </c>
      <c r="Z70" s="40">
        <v>73.2573</v>
      </c>
      <c r="AA70" s="40">
        <v>4692.0</v>
      </c>
      <c r="AB70" s="37">
        <f t="shared" si="3"/>
        <v>0.2674266173</v>
      </c>
      <c r="AC70" s="40">
        <v>393.0</v>
      </c>
      <c r="AD70" s="37">
        <f t="shared" si="4"/>
        <v>0.02239954403</v>
      </c>
      <c r="AE70" s="40">
        <v>0.0</v>
      </c>
      <c r="AF70" s="40">
        <v>0.0</v>
      </c>
      <c r="AG70" s="40">
        <v>5130.81892277002</v>
      </c>
      <c r="AH70" s="40">
        <v>18492.8</v>
      </c>
      <c r="AI70" s="40">
        <v>61028.0</v>
      </c>
      <c r="AJ70" s="40">
        <v>5471.07752915834</v>
      </c>
      <c r="AK70" s="40">
        <v>64299.937486</v>
      </c>
      <c r="AL70" s="41">
        <v>3.0</v>
      </c>
      <c r="AM70" s="40">
        <v>280.0</v>
      </c>
      <c r="AN70" s="40">
        <v>93.33</v>
      </c>
      <c r="AO70" s="40">
        <v>2.4983</v>
      </c>
      <c r="AP70" s="40">
        <v>2498.3</v>
      </c>
      <c r="AQ70" s="40">
        <v>1040.0898</v>
      </c>
      <c r="AR70" s="64"/>
      <c r="AS70" s="64"/>
      <c r="AT70" s="40">
        <v>3123.0</v>
      </c>
      <c r="AU70" s="40">
        <v>1300.0</v>
      </c>
      <c r="AV70" s="40">
        <v>1624.0</v>
      </c>
      <c r="AW70" s="40">
        <v>676.0</v>
      </c>
      <c r="AX70" s="64"/>
      <c r="AY70" s="66" t="s">
        <v>615</v>
      </c>
      <c r="AZ70" s="64"/>
      <c r="BA70" s="64"/>
      <c r="BB70" s="64"/>
      <c r="BC70" s="40">
        <v>10.0</v>
      </c>
      <c r="BD70" s="40">
        <v>10.0</v>
      </c>
      <c r="BE70" s="40">
        <v>10000.0</v>
      </c>
      <c r="BF70" s="69" t="s">
        <v>370</v>
      </c>
      <c r="BG70" s="69" t="s">
        <v>563</v>
      </c>
      <c r="BH70" s="69" t="s">
        <v>487</v>
      </c>
      <c r="BI70" s="70" t="s">
        <v>373</v>
      </c>
    </row>
    <row r="71" ht="22.5" customHeight="1">
      <c r="A71" s="73" t="s">
        <v>616</v>
      </c>
      <c r="B71" s="68" t="s">
        <v>617</v>
      </c>
      <c r="C71" s="58" t="s">
        <v>50</v>
      </c>
      <c r="D71" s="58" t="s">
        <v>398</v>
      </c>
      <c r="E71" s="68" t="s">
        <v>618</v>
      </c>
      <c r="F71" s="68" t="s">
        <v>617</v>
      </c>
      <c r="G71" s="52">
        <v>100.0</v>
      </c>
      <c r="H71" s="52">
        <v>384982.4766</v>
      </c>
      <c r="I71" s="52">
        <v>46.4247</v>
      </c>
      <c r="J71" s="52">
        <v>26.0875</v>
      </c>
      <c r="K71" s="52">
        <v>0.8508</v>
      </c>
      <c r="L71" s="52">
        <v>711.9844</v>
      </c>
      <c r="M71" s="52">
        <v>0.0</v>
      </c>
      <c r="N71" s="52">
        <v>0.0</v>
      </c>
      <c r="O71" s="52">
        <v>207.72</v>
      </c>
      <c r="P71" s="52">
        <v>225.226</v>
      </c>
      <c r="Q71" s="52">
        <v>141.4214</v>
      </c>
      <c r="R71" s="49">
        <v>2500.0</v>
      </c>
      <c r="S71" s="49">
        <v>150.0</v>
      </c>
      <c r="T71" s="49">
        <v>3000.0</v>
      </c>
      <c r="U71" s="49">
        <v>300.0</v>
      </c>
      <c r="V71" s="52">
        <v>1333.0</v>
      </c>
      <c r="W71" s="52">
        <v>58802.0</v>
      </c>
      <c r="X71" s="52">
        <v>1197.0</v>
      </c>
      <c r="Y71" s="52">
        <v>50760.0</v>
      </c>
      <c r="Z71" s="52">
        <v>86.3236</v>
      </c>
      <c r="AA71" s="52">
        <v>8042.0</v>
      </c>
      <c r="AB71" s="51">
        <f t="shared" si="3"/>
        <v>0.1367640556</v>
      </c>
      <c r="AC71" s="52">
        <v>582.0</v>
      </c>
      <c r="AD71" s="51">
        <f t="shared" si="4"/>
        <v>0.00989762253</v>
      </c>
      <c r="AE71" s="52">
        <v>0.0</v>
      </c>
      <c r="AF71" s="52">
        <v>0.0</v>
      </c>
      <c r="AG71" s="52">
        <v>3215.198513655998</v>
      </c>
      <c r="AH71" s="52">
        <v>13159.44999999997</v>
      </c>
      <c r="AI71" s="52">
        <v>60540.0</v>
      </c>
      <c r="AJ71" s="52">
        <v>3354.416664293853</v>
      </c>
      <c r="AK71" s="52">
        <v>64555.287113</v>
      </c>
      <c r="AL71" s="53">
        <v>3.0</v>
      </c>
      <c r="AM71" s="52">
        <v>219.0</v>
      </c>
      <c r="AN71" s="52">
        <v>73.0</v>
      </c>
      <c r="AO71" s="52">
        <v>2.5041</v>
      </c>
      <c r="AP71" s="52">
        <v>2504.1</v>
      </c>
      <c r="AQ71" s="52">
        <v>1444.7812</v>
      </c>
      <c r="AR71" s="52">
        <v>47.8</v>
      </c>
      <c r="AS71" s="52">
        <v>44.7</v>
      </c>
      <c r="AT71" s="52">
        <v>3130.0</v>
      </c>
      <c r="AU71" s="52">
        <v>1806.0</v>
      </c>
      <c r="AV71" s="52">
        <v>1628.0</v>
      </c>
      <c r="AW71" s="52">
        <v>939.0</v>
      </c>
      <c r="AX71" s="58" t="s">
        <v>619</v>
      </c>
      <c r="AY71" s="60" t="s">
        <v>620</v>
      </c>
      <c r="AZ71" s="59"/>
      <c r="BA71" s="59"/>
      <c r="BB71" s="59"/>
      <c r="BC71" s="52">
        <v>10.0</v>
      </c>
      <c r="BD71" s="52">
        <v>10.0</v>
      </c>
      <c r="BE71" s="52">
        <v>10000.0</v>
      </c>
      <c r="BF71" s="68" t="s">
        <v>370</v>
      </c>
      <c r="BG71" s="68" t="s">
        <v>563</v>
      </c>
      <c r="BH71" s="68" t="s">
        <v>487</v>
      </c>
      <c r="BI71" s="71" t="s">
        <v>373</v>
      </c>
    </row>
    <row r="72" ht="22.5" customHeight="1">
      <c r="A72" s="72" t="s">
        <v>512</v>
      </c>
      <c r="B72" s="69" t="s">
        <v>621</v>
      </c>
      <c r="C72" s="62" t="s">
        <v>50</v>
      </c>
      <c r="D72" s="62" t="s">
        <v>404</v>
      </c>
      <c r="E72" s="69" t="s">
        <v>622</v>
      </c>
      <c r="F72" s="69" t="s">
        <v>621</v>
      </c>
      <c r="G72" s="40">
        <v>160.0</v>
      </c>
      <c r="H72" s="40">
        <v>74196.1953</v>
      </c>
      <c r="I72" s="40">
        <v>57.7913</v>
      </c>
      <c r="J72" s="40">
        <v>26.9669</v>
      </c>
      <c r="K72" s="40">
        <v>0.7133</v>
      </c>
      <c r="L72" s="40">
        <v>261.1875</v>
      </c>
      <c r="M72" s="40">
        <v>0.0</v>
      </c>
      <c r="N72" s="40">
        <v>0.0</v>
      </c>
      <c r="O72" s="40">
        <v>31.4677</v>
      </c>
      <c r="P72" s="40">
        <v>35.3227</v>
      </c>
      <c r="Q72" s="40">
        <v>141.4214</v>
      </c>
      <c r="R72" s="36">
        <v>2500.0</v>
      </c>
      <c r="S72" s="36">
        <v>150.0</v>
      </c>
      <c r="T72" s="36">
        <v>3000.0</v>
      </c>
      <c r="U72" s="36">
        <v>300.0</v>
      </c>
      <c r="V72" s="40">
        <v>1500.0</v>
      </c>
      <c r="W72" s="40">
        <v>20752.0</v>
      </c>
      <c r="X72" s="40">
        <v>6547.0</v>
      </c>
      <c r="Y72" s="40">
        <v>6976.0</v>
      </c>
      <c r="Z72" s="40">
        <v>33.616</v>
      </c>
      <c r="AA72" s="40">
        <v>13776.0</v>
      </c>
      <c r="AB72" s="37">
        <f t="shared" si="3"/>
        <v>0.6638396299</v>
      </c>
      <c r="AC72" s="40">
        <v>1514.0</v>
      </c>
      <c r="AD72" s="37">
        <f t="shared" si="4"/>
        <v>0.07295682344</v>
      </c>
      <c r="AE72" s="40">
        <v>0.0</v>
      </c>
      <c r="AF72" s="40">
        <v>0.0</v>
      </c>
      <c r="AG72" s="40">
        <v>12301.94275250578</v>
      </c>
      <c r="AH72" s="40">
        <v>60030.0</v>
      </c>
      <c r="AI72" s="40">
        <v>61014.0</v>
      </c>
      <c r="AJ72" s="40">
        <v>13229.18513834179</v>
      </c>
      <c r="AK72" s="40">
        <v>72900.503381</v>
      </c>
      <c r="AL72" s="41">
        <v>3.0</v>
      </c>
      <c r="AM72" s="40">
        <v>453.0</v>
      </c>
      <c r="AN72" s="40">
        <v>151.0</v>
      </c>
      <c r="AO72" s="40">
        <v>2.4815</v>
      </c>
      <c r="AP72" s="40">
        <v>2481.5</v>
      </c>
      <c r="AQ72" s="40">
        <v>1101.6055</v>
      </c>
      <c r="AR72" s="40">
        <v>43.0</v>
      </c>
      <c r="AS72" s="40">
        <v>44.9</v>
      </c>
      <c r="AT72" s="40">
        <v>3102.0</v>
      </c>
      <c r="AU72" s="40">
        <v>1377.0</v>
      </c>
      <c r="AV72" s="40">
        <v>1613.0</v>
      </c>
      <c r="AW72" s="40">
        <v>716.0</v>
      </c>
      <c r="AX72" s="64"/>
      <c r="AY72" s="66" t="s">
        <v>623</v>
      </c>
      <c r="AZ72" s="64"/>
      <c r="BA72" s="64"/>
      <c r="BB72" s="64"/>
      <c r="BC72" s="40">
        <v>10.0</v>
      </c>
      <c r="BD72" s="40">
        <v>10.0</v>
      </c>
      <c r="BE72" s="40">
        <v>10000.0</v>
      </c>
      <c r="BF72" s="69" t="s">
        <v>370</v>
      </c>
      <c r="BG72" s="69" t="s">
        <v>563</v>
      </c>
      <c r="BH72" s="69" t="s">
        <v>487</v>
      </c>
      <c r="BI72" s="70" t="s">
        <v>373</v>
      </c>
    </row>
    <row r="73" ht="22.5" customHeight="1">
      <c r="A73" s="73" t="s">
        <v>624</v>
      </c>
      <c r="B73" s="68" t="s">
        <v>625</v>
      </c>
      <c r="C73" s="58" t="s">
        <v>50</v>
      </c>
      <c r="D73" s="58" t="s">
        <v>383</v>
      </c>
      <c r="E73" s="68" t="s">
        <v>626</v>
      </c>
      <c r="F73" s="68" t="s">
        <v>625</v>
      </c>
      <c r="G73" s="52">
        <v>130.0</v>
      </c>
      <c r="H73" s="52">
        <v>166123.9837</v>
      </c>
      <c r="I73" s="52">
        <v>18.5041</v>
      </c>
      <c r="J73" s="52">
        <v>4.5275</v>
      </c>
      <c r="K73" s="52">
        <v>1.63</v>
      </c>
      <c r="L73" s="52">
        <v>90.1797</v>
      </c>
      <c r="M73" s="52">
        <v>0.0</v>
      </c>
      <c r="N73" s="52">
        <v>0.0</v>
      </c>
      <c r="O73" s="52">
        <v>156.25</v>
      </c>
      <c r="P73" s="52">
        <v>160.5798</v>
      </c>
      <c r="Q73" s="52">
        <v>31.2886</v>
      </c>
      <c r="R73" s="49">
        <v>2500.0</v>
      </c>
      <c r="S73" s="49">
        <v>150.0</v>
      </c>
      <c r="T73" s="49">
        <v>3000.0</v>
      </c>
      <c r="U73" s="49">
        <v>300.0</v>
      </c>
      <c r="V73" s="52">
        <v>400.0</v>
      </c>
      <c r="W73" s="52">
        <v>20399.0</v>
      </c>
      <c r="X73" s="52">
        <v>0.0</v>
      </c>
      <c r="Y73" s="52">
        <v>20398.0</v>
      </c>
      <c r="Z73" s="52">
        <v>99.9951</v>
      </c>
      <c r="AA73" s="52">
        <v>1.0</v>
      </c>
      <c r="AB73" s="51">
        <f t="shared" si="3"/>
        <v>0.00004902201088</v>
      </c>
      <c r="AC73" s="52">
        <v>0.0</v>
      </c>
      <c r="AD73" s="51">
        <f t="shared" si="4"/>
        <v>0</v>
      </c>
      <c r="AE73" s="52">
        <v>0.0</v>
      </c>
      <c r="AF73" s="52">
        <v>0.0</v>
      </c>
      <c r="AG73" s="52">
        <v>210.4367861169665</v>
      </c>
      <c r="AH73" s="52">
        <v>378.0</v>
      </c>
      <c r="AI73" s="52">
        <v>11130.0</v>
      </c>
      <c r="AJ73" s="52">
        <v>314.8749897692034</v>
      </c>
      <c r="AK73" s="52">
        <v>11203.906486</v>
      </c>
      <c r="AL73" s="53">
        <v>6.0</v>
      </c>
      <c r="AM73" s="52">
        <v>154.0</v>
      </c>
      <c r="AN73" s="52">
        <v>25.67</v>
      </c>
      <c r="AO73" s="52">
        <v>2.293</v>
      </c>
      <c r="AP73" s="52">
        <v>2293.0</v>
      </c>
      <c r="AQ73" s="52">
        <v>903.1445</v>
      </c>
      <c r="AR73" s="59"/>
      <c r="AS73" s="59"/>
      <c r="AT73" s="52">
        <v>2866.0</v>
      </c>
      <c r="AU73" s="52">
        <v>1129.0</v>
      </c>
      <c r="AV73" s="52">
        <v>1490.0</v>
      </c>
      <c r="AW73" s="52">
        <v>587.0</v>
      </c>
      <c r="AX73" s="59"/>
      <c r="AY73" s="60" t="s">
        <v>627</v>
      </c>
      <c r="AZ73" s="59"/>
      <c r="BA73" s="59"/>
      <c r="BB73" s="59"/>
      <c r="BC73" s="52">
        <v>10.0</v>
      </c>
      <c r="BD73" s="52">
        <v>10.0</v>
      </c>
      <c r="BE73" s="52">
        <v>10000.0</v>
      </c>
      <c r="BF73" s="68" t="s">
        <v>370</v>
      </c>
      <c r="BG73" s="68" t="s">
        <v>563</v>
      </c>
      <c r="BH73" s="68" t="s">
        <v>487</v>
      </c>
      <c r="BI73" s="71" t="s">
        <v>373</v>
      </c>
    </row>
    <row r="74" ht="22.5" customHeight="1">
      <c r="A74" s="72" t="s">
        <v>628</v>
      </c>
      <c r="B74" s="69" t="s">
        <v>629</v>
      </c>
      <c r="C74" s="62" t="s">
        <v>50</v>
      </c>
      <c r="D74" s="62" t="s">
        <v>391</v>
      </c>
      <c r="E74" s="69" t="s">
        <v>630</v>
      </c>
      <c r="F74" s="69" t="s">
        <v>629</v>
      </c>
      <c r="G74" s="40">
        <v>130.0</v>
      </c>
      <c r="H74" s="40">
        <v>158387.9038</v>
      </c>
      <c r="I74" s="40">
        <v>21.4636</v>
      </c>
      <c r="J74" s="40">
        <v>3.4568</v>
      </c>
      <c r="K74" s="40">
        <v>1.3525</v>
      </c>
      <c r="L74" s="40">
        <v>45.8164</v>
      </c>
      <c r="M74" s="40">
        <v>0.0</v>
      </c>
      <c r="N74" s="40">
        <v>0.0</v>
      </c>
      <c r="O74" s="40">
        <v>155.0687</v>
      </c>
      <c r="P74" s="40">
        <v>163.32</v>
      </c>
      <c r="Q74" s="40">
        <v>21.5344</v>
      </c>
      <c r="R74" s="36">
        <v>2500.0</v>
      </c>
      <c r="S74" s="36">
        <v>150.0</v>
      </c>
      <c r="T74" s="36">
        <v>3000.0</v>
      </c>
      <c r="U74" s="36">
        <v>300.0</v>
      </c>
      <c r="V74" s="40">
        <v>400.0</v>
      </c>
      <c r="W74" s="40">
        <v>19499.0</v>
      </c>
      <c r="X74" s="40">
        <v>0.0</v>
      </c>
      <c r="Y74" s="40">
        <v>19498.0</v>
      </c>
      <c r="Z74" s="40">
        <v>99.9949</v>
      </c>
      <c r="AA74" s="40">
        <v>1.0</v>
      </c>
      <c r="AB74" s="37">
        <f t="shared" si="3"/>
        <v>0.00005128468127</v>
      </c>
      <c r="AC74" s="40">
        <v>0.0</v>
      </c>
      <c r="AD74" s="37">
        <f t="shared" si="4"/>
        <v>0</v>
      </c>
      <c r="AE74" s="40">
        <v>0.0</v>
      </c>
      <c r="AF74" s="40">
        <v>0.0</v>
      </c>
      <c r="AG74" s="40">
        <v>217.0944150982102</v>
      </c>
      <c r="AH74" s="40">
        <v>404.0</v>
      </c>
      <c r="AI74" s="40">
        <v>11133.0</v>
      </c>
      <c r="AJ74" s="40">
        <v>314.7283242687323</v>
      </c>
      <c r="AK74" s="40">
        <v>11207.039378</v>
      </c>
      <c r="AL74" s="41">
        <v>6.0</v>
      </c>
      <c r="AM74" s="40">
        <v>168.0</v>
      </c>
      <c r="AN74" s="40">
        <v>28.0</v>
      </c>
      <c r="AO74" s="40">
        <v>2.2433</v>
      </c>
      <c r="AP74" s="40">
        <v>2243.3</v>
      </c>
      <c r="AQ74" s="40">
        <v>927.6953</v>
      </c>
      <c r="AR74" s="64"/>
      <c r="AS74" s="64"/>
      <c r="AT74" s="40">
        <v>2804.0</v>
      </c>
      <c r="AU74" s="40">
        <v>1160.0</v>
      </c>
      <c r="AV74" s="40">
        <v>1458.0</v>
      </c>
      <c r="AW74" s="40">
        <v>603.0</v>
      </c>
      <c r="AX74" s="64"/>
      <c r="AY74" s="66" t="s">
        <v>631</v>
      </c>
      <c r="AZ74" s="64"/>
      <c r="BA74" s="64"/>
      <c r="BB74" s="64"/>
      <c r="BC74" s="40">
        <v>10.0</v>
      </c>
      <c r="BD74" s="40">
        <v>10.0</v>
      </c>
      <c r="BE74" s="40">
        <v>10000.0</v>
      </c>
      <c r="BF74" s="69" t="s">
        <v>370</v>
      </c>
      <c r="BG74" s="69" t="s">
        <v>563</v>
      </c>
      <c r="BH74" s="69" t="s">
        <v>487</v>
      </c>
      <c r="BI74" s="70" t="s">
        <v>373</v>
      </c>
    </row>
    <row r="75" ht="22.5" customHeight="1">
      <c r="A75" s="73" t="s">
        <v>632</v>
      </c>
      <c r="B75" s="68" t="s">
        <v>633</v>
      </c>
      <c r="C75" s="58" t="s">
        <v>50</v>
      </c>
      <c r="D75" s="58" t="s">
        <v>398</v>
      </c>
      <c r="E75" s="68" t="s">
        <v>634</v>
      </c>
      <c r="F75" s="68" t="s">
        <v>633</v>
      </c>
      <c r="G75" s="52">
        <v>100.0</v>
      </c>
      <c r="H75" s="52">
        <v>484168.6847</v>
      </c>
      <c r="I75" s="52">
        <v>11.5301</v>
      </c>
      <c r="J75" s="52">
        <v>5.2363</v>
      </c>
      <c r="K75" s="52">
        <v>1.5433</v>
      </c>
      <c r="L75" s="52">
        <v>119.3984</v>
      </c>
      <c r="M75" s="52">
        <v>0.0</v>
      </c>
      <c r="N75" s="52">
        <v>0.0</v>
      </c>
      <c r="O75" s="52">
        <v>162.9049</v>
      </c>
      <c r="P75" s="52">
        <v>167.735</v>
      </c>
      <c r="Q75" s="52">
        <v>165.8312</v>
      </c>
      <c r="R75" s="49">
        <v>2500.0</v>
      </c>
      <c r="S75" s="49">
        <v>150.0</v>
      </c>
      <c r="T75" s="49">
        <v>3000.0</v>
      </c>
      <c r="U75" s="49">
        <v>300.0</v>
      </c>
      <c r="V75" s="52">
        <v>400.0</v>
      </c>
      <c r="W75" s="52">
        <v>59998.0</v>
      </c>
      <c r="X75" s="52">
        <v>0.0</v>
      </c>
      <c r="Y75" s="52">
        <v>59995.0</v>
      </c>
      <c r="Z75" s="52">
        <v>99.995</v>
      </c>
      <c r="AA75" s="52">
        <v>3.0</v>
      </c>
      <c r="AB75" s="51">
        <f t="shared" si="3"/>
        <v>0.00005000166672</v>
      </c>
      <c r="AC75" s="52">
        <v>0.0</v>
      </c>
      <c r="AD75" s="51">
        <f t="shared" si="4"/>
        <v>0</v>
      </c>
      <c r="AE75" s="52">
        <v>0.0</v>
      </c>
      <c r="AF75" s="52">
        <v>0.0</v>
      </c>
      <c r="AG75" s="52">
        <v>164.5480349344978</v>
      </c>
      <c r="AH75" s="52">
        <v>215.0</v>
      </c>
      <c r="AI75" s="52">
        <v>11155.0</v>
      </c>
      <c r="AJ75" s="52">
        <v>227.1053648088937</v>
      </c>
      <c r="AK75" s="52">
        <v>11241.29483</v>
      </c>
      <c r="AL75" s="53">
        <v>6.0</v>
      </c>
      <c r="AM75" s="52">
        <v>111.0</v>
      </c>
      <c r="AN75" s="52">
        <v>18.5</v>
      </c>
      <c r="AO75" s="52">
        <v>2.2804</v>
      </c>
      <c r="AP75" s="52">
        <v>2280.4</v>
      </c>
      <c r="AQ75" s="52">
        <v>927.6953</v>
      </c>
      <c r="AR75" s="59"/>
      <c r="AS75" s="59"/>
      <c r="AT75" s="52">
        <v>2851.0</v>
      </c>
      <c r="AU75" s="52">
        <v>1160.0</v>
      </c>
      <c r="AV75" s="52">
        <v>1482.0</v>
      </c>
      <c r="AW75" s="52">
        <v>603.0</v>
      </c>
      <c r="AX75" s="59"/>
      <c r="AY75" s="60" t="s">
        <v>635</v>
      </c>
      <c r="AZ75" s="59"/>
      <c r="BA75" s="59"/>
      <c r="BB75" s="59"/>
      <c r="BC75" s="52">
        <v>10.0</v>
      </c>
      <c r="BD75" s="52">
        <v>10.0</v>
      </c>
      <c r="BE75" s="52">
        <v>10000.0</v>
      </c>
      <c r="BF75" s="68" t="s">
        <v>370</v>
      </c>
      <c r="BG75" s="68" t="s">
        <v>563</v>
      </c>
      <c r="BH75" s="68" t="s">
        <v>487</v>
      </c>
      <c r="BI75" s="71" t="s">
        <v>373</v>
      </c>
    </row>
    <row r="76" ht="22.5" customHeight="1">
      <c r="A76" s="72" t="s">
        <v>636</v>
      </c>
      <c r="B76" s="69" t="s">
        <v>637</v>
      </c>
      <c r="C76" s="62" t="s">
        <v>50</v>
      </c>
      <c r="D76" s="62" t="s">
        <v>404</v>
      </c>
      <c r="E76" s="69" t="s">
        <v>638</v>
      </c>
      <c r="F76" s="69" t="s">
        <v>637</v>
      </c>
      <c r="G76" s="40">
        <v>160.0</v>
      </c>
      <c r="H76" s="40">
        <v>207402.9806</v>
      </c>
      <c r="I76" s="40">
        <v>42.4261</v>
      </c>
      <c r="J76" s="40">
        <v>21.6164</v>
      </c>
      <c r="K76" s="40">
        <v>2.2683</v>
      </c>
      <c r="L76" s="40">
        <v>59.1367</v>
      </c>
      <c r="M76" s="40">
        <v>0.0</v>
      </c>
      <c r="N76" s="40">
        <v>0.0</v>
      </c>
      <c r="O76" s="40">
        <v>167.5</v>
      </c>
      <c r="P76" s="40">
        <v>176.925</v>
      </c>
      <c r="Q76" s="40">
        <v>223.6068</v>
      </c>
      <c r="R76" s="36">
        <v>2500.0</v>
      </c>
      <c r="S76" s="36">
        <v>150.0</v>
      </c>
      <c r="T76" s="36">
        <v>3000.0</v>
      </c>
      <c r="U76" s="36">
        <v>300.0</v>
      </c>
      <c r="V76" s="40">
        <v>486.0</v>
      </c>
      <c r="W76" s="40">
        <v>25244.0</v>
      </c>
      <c r="X76" s="40">
        <v>0.0</v>
      </c>
      <c r="Y76" s="40">
        <v>25243.0</v>
      </c>
      <c r="Z76" s="40">
        <v>99.996</v>
      </c>
      <c r="AA76" s="40">
        <v>1.0</v>
      </c>
      <c r="AB76" s="37">
        <f t="shared" si="3"/>
        <v>0.00003961337347</v>
      </c>
      <c r="AC76" s="40">
        <v>0.0</v>
      </c>
      <c r="AD76" s="37">
        <f t="shared" si="4"/>
        <v>0</v>
      </c>
      <c r="AE76" s="40">
        <v>0.0</v>
      </c>
      <c r="AF76" s="40">
        <v>0.0</v>
      </c>
      <c r="AG76" s="40">
        <v>806.4166930755823</v>
      </c>
      <c r="AH76" s="40">
        <v>1709.849999999999</v>
      </c>
      <c r="AI76" s="40">
        <v>12291.0</v>
      </c>
      <c r="AJ76" s="40">
        <v>1910.841399850662</v>
      </c>
      <c r="AK76" s="40">
        <v>15392.847427</v>
      </c>
      <c r="AL76" s="41">
        <v>6.0</v>
      </c>
      <c r="AM76" s="40">
        <v>258.0</v>
      </c>
      <c r="AN76" s="40">
        <v>43.0</v>
      </c>
      <c r="AO76" s="40">
        <v>2.3459</v>
      </c>
      <c r="AP76" s="40">
        <v>2345.9</v>
      </c>
      <c r="AQ76" s="40">
        <v>972.5078</v>
      </c>
      <c r="AR76" s="64"/>
      <c r="AS76" s="64"/>
      <c r="AT76" s="40">
        <v>2932.0</v>
      </c>
      <c r="AU76" s="40">
        <v>1216.0</v>
      </c>
      <c r="AV76" s="40">
        <v>1525.0</v>
      </c>
      <c r="AW76" s="40">
        <v>632.0</v>
      </c>
      <c r="AX76" s="64"/>
      <c r="AY76" s="66" t="s">
        <v>639</v>
      </c>
      <c r="AZ76" s="64"/>
      <c r="BA76" s="64"/>
      <c r="BB76" s="64"/>
      <c r="BC76" s="40">
        <v>10.0</v>
      </c>
      <c r="BD76" s="40">
        <v>10.0</v>
      </c>
      <c r="BE76" s="40">
        <v>10000.0</v>
      </c>
      <c r="BF76" s="69" t="s">
        <v>370</v>
      </c>
      <c r="BG76" s="69" t="s">
        <v>563</v>
      </c>
      <c r="BH76" s="69" t="s">
        <v>487</v>
      </c>
      <c r="BI76" s="70" t="s">
        <v>373</v>
      </c>
    </row>
    <row r="77" ht="22.5" customHeight="1">
      <c r="A77" s="73" t="s">
        <v>640</v>
      </c>
      <c r="B77" s="68" t="s">
        <v>641</v>
      </c>
      <c r="C77" s="58" t="s">
        <v>50</v>
      </c>
      <c r="D77" s="58" t="s">
        <v>383</v>
      </c>
      <c r="E77" s="68" t="s">
        <v>642</v>
      </c>
      <c r="F77" s="68" t="s">
        <v>641</v>
      </c>
      <c r="G77" s="52">
        <v>130.0</v>
      </c>
      <c r="H77" s="52">
        <v>166908.4219</v>
      </c>
      <c r="I77" s="52">
        <v>34.1743</v>
      </c>
      <c r="J77" s="52">
        <v>11.9312</v>
      </c>
      <c r="K77" s="52">
        <v>2.14</v>
      </c>
      <c r="L77" s="52">
        <v>52.6094</v>
      </c>
      <c r="M77" s="52">
        <v>0.0</v>
      </c>
      <c r="N77" s="52">
        <v>0.0</v>
      </c>
      <c r="O77" s="52">
        <v>167.5</v>
      </c>
      <c r="P77" s="52">
        <v>176.7935</v>
      </c>
      <c r="Q77" s="52">
        <v>282.8427</v>
      </c>
      <c r="R77" s="49">
        <v>2500.0</v>
      </c>
      <c r="S77" s="49">
        <v>150.0</v>
      </c>
      <c r="T77" s="49">
        <v>3000.0</v>
      </c>
      <c r="U77" s="49">
        <v>300.0</v>
      </c>
      <c r="V77" s="52">
        <v>400.0</v>
      </c>
      <c r="W77" s="52">
        <v>20399.0</v>
      </c>
      <c r="X77" s="52">
        <v>0.0</v>
      </c>
      <c r="Y77" s="52">
        <v>20392.0</v>
      </c>
      <c r="Z77" s="52">
        <v>99.9657</v>
      </c>
      <c r="AA77" s="52">
        <v>7.0</v>
      </c>
      <c r="AB77" s="51">
        <f t="shared" si="3"/>
        <v>0.0003431540762</v>
      </c>
      <c r="AC77" s="52">
        <v>0.0</v>
      </c>
      <c r="AD77" s="51">
        <f t="shared" si="4"/>
        <v>0</v>
      </c>
      <c r="AE77" s="52">
        <v>0.0</v>
      </c>
      <c r="AF77" s="52">
        <v>0.0</v>
      </c>
      <c r="AG77" s="52">
        <v>190.4767880778469</v>
      </c>
      <c r="AH77" s="52">
        <v>319.0999999999985</v>
      </c>
      <c r="AI77" s="52">
        <v>5311.0</v>
      </c>
      <c r="AJ77" s="52">
        <v>295.607531142407</v>
      </c>
      <c r="AK77" s="52">
        <v>5733.264705</v>
      </c>
      <c r="AL77" s="53">
        <v>9.0</v>
      </c>
      <c r="AM77" s="52">
        <v>159.0</v>
      </c>
      <c r="AN77" s="52">
        <v>17.67</v>
      </c>
      <c r="AO77" s="52">
        <v>2.3748</v>
      </c>
      <c r="AP77" s="52">
        <v>2374.8</v>
      </c>
      <c r="AQ77" s="52">
        <v>972.5078</v>
      </c>
      <c r="AR77" s="59"/>
      <c r="AS77" s="59"/>
      <c r="AT77" s="52">
        <v>2969.0</v>
      </c>
      <c r="AU77" s="52">
        <v>1216.0</v>
      </c>
      <c r="AV77" s="52">
        <v>1544.0</v>
      </c>
      <c r="AW77" s="52">
        <v>632.0</v>
      </c>
      <c r="AX77" s="59"/>
      <c r="AY77" s="60" t="s">
        <v>643</v>
      </c>
      <c r="AZ77" s="59"/>
      <c r="BA77" s="59"/>
      <c r="BB77" s="59"/>
      <c r="BC77" s="52">
        <v>10.0</v>
      </c>
      <c r="BD77" s="52">
        <v>10.0</v>
      </c>
      <c r="BE77" s="52">
        <v>10000.0</v>
      </c>
      <c r="BF77" s="68" t="s">
        <v>370</v>
      </c>
      <c r="BG77" s="68" t="s">
        <v>563</v>
      </c>
      <c r="BH77" s="68" t="s">
        <v>487</v>
      </c>
      <c r="BI77" s="71" t="s">
        <v>373</v>
      </c>
    </row>
    <row r="78" ht="22.5" customHeight="1">
      <c r="A78" s="72" t="s">
        <v>644</v>
      </c>
      <c r="B78" s="69" t="s">
        <v>645</v>
      </c>
      <c r="C78" s="62" t="s">
        <v>50</v>
      </c>
      <c r="D78" s="62" t="s">
        <v>391</v>
      </c>
      <c r="E78" s="69" t="s">
        <v>646</v>
      </c>
      <c r="F78" s="69" t="s">
        <v>645</v>
      </c>
      <c r="G78" s="40">
        <v>130.0</v>
      </c>
      <c r="H78" s="40">
        <v>159422.2606</v>
      </c>
      <c r="I78" s="40">
        <v>4.794</v>
      </c>
      <c r="J78" s="40">
        <v>0.619</v>
      </c>
      <c r="K78" s="40">
        <v>1.27</v>
      </c>
      <c r="L78" s="40">
        <v>24.3359</v>
      </c>
      <c r="M78" s="40">
        <v>0.0</v>
      </c>
      <c r="N78" s="40">
        <v>0.0</v>
      </c>
      <c r="O78" s="40">
        <v>99.34</v>
      </c>
      <c r="P78" s="40">
        <v>105.448</v>
      </c>
      <c r="Q78" s="40">
        <v>43.5337</v>
      </c>
      <c r="R78" s="36">
        <v>2500.0</v>
      </c>
      <c r="S78" s="36">
        <v>150.0</v>
      </c>
      <c r="T78" s="36">
        <v>3000.0</v>
      </c>
      <c r="U78" s="36">
        <v>300.0</v>
      </c>
      <c r="V78" s="40">
        <v>400.0</v>
      </c>
      <c r="W78" s="40">
        <v>19500.0</v>
      </c>
      <c r="X78" s="40">
        <v>0.0</v>
      </c>
      <c r="Y78" s="40">
        <v>19496.0</v>
      </c>
      <c r="Z78" s="40">
        <v>99.9795</v>
      </c>
      <c r="AA78" s="40">
        <v>4.0</v>
      </c>
      <c r="AB78" s="37">
        <f t="shared" si="3"/>
        <v>0.0002051282051</v>
      </c>
      <c r="AC78" s="40">
        <v>0.0</v>
      </c>
      <c r="AD78" s="37">
        <f t="shared" si="4"/>
        <v>0</v>
      </c>
      <c r="AE78" s="40">
        <v>0.0</v>
      </c>
      <c r="AF78" s="40">
        <v>0.0</v>
      </c>
      <c r="AG78" s="40">
        <v>189.2722051282051</v>
      </c>
      <c r="AH78" s="40">
        <v>320.0</v>
      </c>
      <c r="AI78" s="40">
        <v>11188.0</v>
      </c>
      <c r="AJ78" s="40">
        <v>297.5482526383611</v>
      </c>
      <c r="AK78" s="40">
        <v>11683.707147</v>
      </c>
      <c r="AL78" s="41">
        <v>9.0</v>
      </c>
      <c r="AM78" s="40">
        <v>154.0</v>
      </c>
      <c r="AN78" s="40">
        <v>17.11</v>
      </c>
      <c r="AO78" s="40">
        <v>1.8341</v>
      </c>
      <c r="AP78" s="40">
        <v>1834.1</v>
      </c>
      <c r="AQ78" s="40">
        <v>935.4883</v>
      </c>
      <c r="AR78" s="64"/>
      <c r="AS78" s="64"/>
      <c r="AT78" s="40">
        <v>2293.0</v>
      </c>
      <c r="AU78" s="40">
        <v>1169.0</v>
      </c>
      <c r="AV78" s="40">
        <v>1192.0</v>
      </c>
      <c r="AW78" s="40">
        <v>608.0</v>
      </c>
      <c r="AX78" s="64"/>
      <c r="AY78" s="66" t="s">
        <v>647</v>
      </c>
      <c r="AZ78" s="64"/>
      <c r="BA78" s="64"/>
      <c r="BB78" s="64"/>
      <c r="BC78" s="40">
        <v>10.0</v>
      </c>
      <c r="BD78" s="40">
        <v>10.0</v>
      </c>
      <c r="BE78" s="40">
        <v>10000.0</v>
      </c>
      <c r="BF78" s="69" t="s">
        <v>370</v>
      </c>
      <c r="BG78" s="69" t="s">
        <v>563</v>
      </c>
      <c r="BH78" s="69" t="s">
        <v>487</v>
      </c>
      <c r="BI78" s="70" t="s">
        <v>373</v>
      </c>
    </row>
    <row r="79" ht="22.5" customHeight="1">
      <c r="A79" s="73" t="s">
        <v>648</v>
      </c>
      <c r="B79" s="68" t="s">
        <v>649</v>
      </c>
      <c r="C79" s="58" t="s">
        <v>50</v>
      </c>
      <c r="D79" s="58" t="s">
        <v>398</v>
      </c>
      <c r="E79" s="68" t="s">
        <v>650</v>
      </c>
      <c r="F79" s="68" t="s">
        <v>649</v>
      </c>
      <c r="G79" s="52">
        <v>100.0</v>
      </c>
      <c r="H79" s="52">
        <v>483929.1298</v>
      </c>
      <c r="I79" s="52">
        <v>2.9796</v>
      </c>
      <c r="J79" s="52">
        <v>0.2727</v>
      </c>
      <c r="K79" s="52">
        <v>1.3425</v>
      </c>
      <c r="L79" s="52">
        <v>28.3008</v>
      </c>
      <c r="M79" s="52">
        <v>0.0</v>
      </c>
      <c r="N79" s="52">
        <v>0.0</v>
      </c>
      <c r="O79" s="52">
        <v>88.42</v>
      </c>
      <c r="P79" s="52">
        <v>92.86</v>
      </c>
      <c r="Q79" s="52">
        <v>92.9465</v>
      </c>
      <c r="R79" s="49">
        <v>2500.0</v>
      </c>
      <c r="S79" s="49">
        <v>150.0</v>
      </c>
      <c r="T79" s="49">
        <v>3000.0</v>
      </c>
      <c r="U79" s="49">
        <v>300.0</v>
      </c>
      <c r="V79" s="52">
        <v>400.0</v>
      </c>
      <c r="W79" s="52">
        <v>59998.0</v>
      </c>
      <c r="X79" s="52">
        <v>0.0</v>
      </c>
      <c r="Y79" s="52">
        <v>59996.0</v>
      </c>
      <c r="Z79" s="52">
        <v>99.9967</v>
      </c>
      <c r="AA79" s="52">
        <v>2.0</v>
      </c>
      <c r="AB79" s="51">
        <f t="shared" si="3"/>
        <v>0.00003333444448</v>
      </c>
      <c r="AC79" s="52">
        <v>0.0</v>
      </c>
      <c r="AD79" s="51">
        <f t="shared" si="4"/>
        <v>0</v>
      </c>
      <c r="AE79" s="52">
        <v>0.0</v>
      </c>
      <c r="AF79" s="52">
        <v>0.0</v>
      </c>
      <c r="AG79" s="52">
        <v>169.6839727990933</v>
      </c>
      <c r="AH79" s="52">
        <v>192.0</v>
      </c>
      <c r="AI79" s="52">
        <v>11134.0</v>
      </c>
      <c r="AJ79" s="52">
        <v>230.624495572485</v>
      </c>
      <c r="AK79" s="52">
        <v>11227.430742</v>
      </c>
      <c r="AL79" s="53">
        <v>9.0</v>
      </c>
      <c r="AM79" s="52">
        <v>115.0</v>
      </c>
      <c r="AN79" s="52">
        <v>12.78</v>
      </c>
      <c r="AO79" s="52">
        <v>1.6873</v>
      </c>
      <c r="AP79" s="52">
        <v>1687.3</v>
      </c>
      <c r="AQ79" s="52">
        <v>933.0781</v>
      </c>
      <c r="AR79" s="59"/>
      <c r="AS79" s="59"/>
      <c r="AT79" s="52">
        <v>2109.0</v>
      </c>
      <c r="AU79" s="52">
        <v>1166.0</v>
      </c>
      <c r="AV79" s="52">
        <v>1097.0</v>
      </c>
      <c r="AW79" s="52">
        <v>607.0</v>
      </c>
      <c r="AX79" s="59"/>
      <c r="AY79" s="60" t="s">
        <v>651</v>
      </c>
      <c r="AZ79" s="59"/>
      <c r="BA79" s="59"/>
      <c r="BB79" s="59"/>
      <c r="BC79" s="52">
        <v>10.0</v>
      </c>
      <c r="BD79" s="52">
        <v>10.0</v>
      </c>
      <c r="BE79" s="52">
        <v>10000.0</v>
      </c>
      <c r="BF79" s="68" t="s">
        <v>370</v>
      </c>
      <c r="BG79" s="68" t="s">
        <v>563</v>
      </c>
      <c r="BH79" s="68" t="s">
        <v>487</v>
      </c>
      <c r="BI79" s="71" t="s">
        <v>373</v>
      </c>
    </row>
    <row r="80" ht="22.5" customHeight="1">
      <c r="A80" s="72" t="s">
        <v>652</v>
      </c>
      <c r="B80" s="69" t="s">
        <v>653</v>
      </c>
      <c r="C80" s="62" t="s">
        <v>50</v>
      </c>
      <c r="D80" s="62" t="s">
        <v>404</v>
      </c>
      <c r="E80" s="69" t="s">
        <v>654</v>
      </c>
      <c r="F80" s="69" t="s">
        <v>653</v>
      </c>
      <c r="G80" s="40">
        <v>160.0</v>
      </c>
      <c r="H80" s="40">
        <v>209933.8282</v>
      </c>
      <c r="I80" s="40">
        <v>12.0334</v>
      </c>
      <c r="J80" s="40">
        <v>4.3</v>
      </c>
      <c r="K80" s="40">
        <v>1.95</v>
      </c>
      <c r="L80" s="40">
        <v>24.3359</v>
      </c>
      <c r="M80" s="40">
        <v>0.0</v>
      </c>
      <c r="N80" s="40">
        <v>0.0</v>
      </c>
      <c r="O80" s="40">
        <v>113.48</v>
      </c>
      <c r="P80" s="40">
        <v>120.212</v>
      </c>
      <c r="Q80" s="40">
        <v>50.3397</v>
      </c>
      <c r="R80" s="36">
        <v>2500.0</v>
      </c>
      <c r="S80" s="36">
        <v>150.0</v>
      </c>
      <c r="T80" s="36">
        <v>3000.0</v>
      </c>
      <c r="U80" s="36">
        <v>300.0</v>
      </c>
      <c r="V80" s="40">
        <v>461.0</v>
      </c>
      <c r="W80" s="40">
        <v>25511.0</v>
      </c>
      <c r="X80" s="40">
        <v>0.0</v>
      </c>
      <c r="Y80" s="40">
        <v>25510.0</v>
      </c>
      <c r="Z80" s="40">
        <v>99.9961</v>
      </c>
      <c r="AA80" s="40">
        <v>1.0</v>
      </c>
      <c r="AB80" s="37">
        <f t="shared" si="3"/>
        <v>0.000039198777</v>
      </c>
      <c r="AC80" s="40">
        <v>0.0</v>
      </c>
      <c r="AD80" s="37">
        <f t="shared" si="4"/>
        <v>0</v>
      </c>
      <c r="AE80" s="40">
        <v>0.0</v>
      </c>
      <c r="AF80" s="40">
        <v>0.0</v>
      </c>
      <c r="AG80" s="40">
        <v>606.2986946807259</v>
      </c>
      <c r="AH80" s="40">
        <v>1491.0</v>
      </c>
      <c r="AI80" s="40">
        <v>11445.0</v>
      </c>
      <c r="AJ80" s="40">
        <v>1432.852589552361</v>
      </c>
      <c r="AK80" s="40">
        <v>14838.701477</v>
      </c>
      <c r="AL80" s="41">
        <v>9.0</v>
      </c>
      <c r="AM80" s="40">
        <v>272.0</v>
      </c>
      <c r="AN80" s="40">
        <v>30.22</v>
      </c>
      <c r="AO80" s="40">
        <v>1.8749</v>
      </c>
      <c r="AP80" s="40">
        <v>1874.9</v>
      </c>
      <c r="AQ80" s="40">
        <v>935.4883</v>
      </c>
      <c r="AR80" s="64"/>
      <c r="AS80" s="64"/>
      <c r="AT80" s="40">
        <v>2344.0</v>
      </c>
      <c r="AU80" s="40">
        <v>1169.0</v>
      </c>
      <c r="AV80" s="40">
        <v>1219.0</v>
      </c>
      <c r="AW80" s="40">
        <v>608.0</v>
      </c>
      <c r="AX80" s="64"/>
      <c r="AY80" s="66" t="s">
        <v>655</v>
      </c>
      <c r="AZ80" s="64"/>
      <c r="BA80" s="64"/>
      <c r="BB80" s="64"/>
      <c r="BC80" s="40">
        <v>10.0</v>
      </c>
      <c r="BD80" s="40">
        <v>10.0</v>
      </c>
      <c r="BE80" s="40">
        <v>10000.0</v>
      </c>
      <c r="BF80" s="69" t="s">
        <v>370</v>
      </c>
      <c r="BG80" s="69" t="s">
        <v>563</v>
      </c>
      <c r="BH80" s="69" t="s">
        <v>487</v>
      </c>
      <c r="BI80" s="70" t="s">
        <v>373</v>
      </c>
    </row>
    <row r="81" ht="22.5" customHeight="1">
      <c r="A81" s="73" t="s">
        <v>656</v>
      </c>
      <c r="B81" s="68" t="s">
        <v>657</v>
      </c>
      <c r="C81" s="58" t="s">
        <v>50</v>
      </c>
      <c r="D81" s="58" t="s">
        <v>383</v>
      </c>
      <c r="E81" s="68" t="s">
        <v>658</v>
      </c>
      <c r="F81" s="68" t="s">
        <v>657</v>
      </c>
      <c r="G81" s="52">
        <v>130.0</v>
      </c>
      <c r="H81" s="52">
        <v>112773.5354</v>
      </c>
      <c r="I81" s="52">
        <v>51.158</v>
      </c>
      <c r="J81" s="52">
        <v>25.2078</v>
      </c>
      <c r="K81" s="52">
        <v>1.7517</v>
      </c>
      <c r="L81" s="52">
        <v>422.3203</v>
      </c>
      <c r="M81" s="52">
        <v>0.0</v>
      </c>
      <c r="N81" s="52">
        <v>0.0</v>
      </c>
      <c r="O81" s="52">
        <v>165.88</v>
      </c>
      <c r="P81" s="52">
        <v>204.175</v>
      </c>
      <c r="Q81" s="52">
        <v>223.6068</v>
      </c>
      <c r="R81" s="49">
        <v>2500.0</v>
      </c>
      <c r="S81" s="49">
        <v>150.0</v>
      </c>
      <c r="T81" s="49">
        <v>3000.0</v>
      </c>
      <c r="U81" s="49">
        <v>300.0</v>
      </c>
      <c r="V81" s="52">
        <v>1305.0</v>
      </c>
      <c r="W81" s="52">
        <v>18426.0</v>
      </c>
      <c r="X81" s="52">
        <v>0.0</v>
      </c>
      <c r="Y81" s="52">
        <v>13338.0</v>
      </c>
      <c r="Z81" s="52">
        <v>72.3868</v>
      </c>
      <c r="AA81" s="52">
        <v>5088.0</v>
      </c>
      <c r="AB81" s="51">
        <f t="shared" si="3"/>
        <v>0.2761315532</v>
      </c>
      <c r="AC81" s="52">
        <v>199.0</v>
      </c>
      <c r="AD81" s="51">
        <f t="shared" si="4"/>
        <v>0.01079995658</v>
      </c>
      <c r="AE81" s="52">
        <v>0.0</v>
      </c>
      <c r="AF81" s="52">
        <v>0.0</v>
      </c>
      <c r="AG81" s="52">
        <v>5166.06159774232</v>
      </c>
      <c r="AH81" s="52">
        <v>16872.0</v>
      </c>
      <c r="AI81" s="52">
        <v>60533.0</v>
      </c>
      <c r="AJ81" s="52">
        <v>5590.360639149887</v>
      </c>
      <c r="AK81" s="52">
        <v>66332.959302</v>
      </c>
      <c r="AL81" s="53">
        <v>3.0</v>
      </c>
      <c r="AM81" s="52">
        <v>329.0</v>
      </c>
      <c r="AN81" s="52">
        <v>109.67</v>
      </c>
      <c r="AO81" s="52">
        <v>2.4993</v>
      </c>
      <c r="AP81" s="52">
        <v>2499.3</v>
      </c>
      <c r="AQ81" s="52">
        <v>1275.9062</v>
      </c>
      <c r="AR81" s="58" t="s">
        <v>659</v>
      </c>
      <c r="AS81" s="58" t="s">
        <v>659</v>
      </c>
      <c r="AT81" s="52">
        <v>3124.0</v>
      </c>
      <c r="AU81" s="52">
        <v>1595.0</v>
      </c>
      <c r="AV81" s="52">
        <v>1625.0</v>
      </c>
      <c r="AW81" s="52">
        <v>829.0</v>
      </c>
      <c r="AX81" s="59"/>
      <c r="AY81" s="60" t="s">
        <v>660</v>
      </c>
      <c r="AZ81" s="59"/>
      <c r="BA81" s="59"/>
      <c r="BB81" s="59"/>
      <c r="BC81" s="52">
        <v>10.0</v>
      </c>
      <c r="BD81" s="52">
        <v>10.0</v>
      </c>
      <c r="BE81" s="52">
        <v>10000.0</v>
      </c>
      <c r="BF81" s="68" t="s">
        <v>370</v>
      </c>
      <c r="BG81" s="68" t="s">
        <v>563</v>
      </c>
      <c r="BH81" s="68" t="s">
        <v>465</v>
      </c>
      <c r="BI81" s="71" t="s">
        <v>373</v>
      </c>
    </row>
    <row r="82" ht="22.5" customHeight="1">
      <c r="A82" s="72" t="s">
        <v>661</v>
      </c>
      <c r="B82" s="69" t="s">
        <v>662</v>
      </c>
      <c r="C82" s="62" t="s">
        <v>50</v>
      </c>
      <c r="D82" s="62" t="s">
        <v>391</v>
      </c>
      <c r="E82" s="69" t="s">
        <v>663</v>
      </c>
      <c r="F82" s="69" t="s">
        <v>662</v>
      </c>
      <c r="G82" s="40">
        <v>130.0</v>
      </c>
      <c r="H82" s="40">
        <v>111311.3261</v>
      </c>
      <c r="I82" s="40">
        <v>45.1042</v>
      </c>
      <c r="J82" s="40">
        <v>30.1806</v>
      </c>
      <c r="K82" s="40">
        <v>1.7725</v>
      </c>
      <c r="L82" s="40">
        <v>432.457</v>
      </c>
      <c r="M82" s="40">
        <v>0.0</v>
      </c>
      <c r="N82" s="40">
        <v>0.0</v>
      </c>
      <c r="O82" s="40">
        <v>199.98</v>
      </c>
      <c r="P82" s="40">
        <v>218.466</v>
      </c>
      <c r="Q82" s="40">
        <v>139.596</v>
      </c>
      <c r="R82" s="36">
        <v>2500.0</v>
      </c>
      <c r="S82" s="36">
        <v>150.0</v>
      </c>
      <c r="T82" s="36">
        <v>3000.0</v>
      </c>
      <c r="U82" s="36">
        <v>300.0</v>
      </c>
      <c r="V82" s="40">
        <v>1500.0</v>
      </c>
      <c r="W82" s="40">
        <v>17826.0</v>
      </c>
      <c r="X82" s="40">
        <v>60.0</v>
      </c>
      <c r="Y82" s="40">
        <v>13479.0</v>
      </c>
      <c r="Z82" s="40">
        <v>75.6143</v>
      </c>
      <c r="AA82" s="40">
        <v>4347.0</v>
      </c>
      <c r="AB82" s="37">
        <f t="shared" si="3"/>
        <v>0.2438572871</v>
      </c>
      <c r="AC82" s="40">
        <v>54.0</v>
      </c>
      <c r="AD82" s="37">
        <f t="shared" si="4"/>
        <v>0.00302928307</v>
      </c>
      <c r="AE82" s="40">
        <v>0.0</v>
      </c>
      <c r="AF82" s="40">
        <v>0.0</v>
      </c>
      <c r="AG82" s="40">
        <v>4470.301918545944</v>
      </c>
      <c r="AH82" s="40">
        <v>18016.0</v>
      </c>
      <c r="AI82" s="40">
        <v>60271.0</v>
      </c>
      <c r="AJ82" s="40">
        <v>4763.556390784978</v>
      </c>
      <c r="AK82" s="40">
        <v>62933.008393</v>
      </c>
      <c r="AL82" s="41">
        <v>3.0</v>
      </c>
      <c r="AM82" s="40">
        <v>245.0</v>
      </c>
      <c r="AN82" s="40">
        <v>81.67</v>
      </c>
      <c r="AO82" s="40">
        <v>2.4993</v>
      </c>
      <c r="AP82" s="40">
        <v>2499.3</v>
      </c>
      <c r="AQ82" s="40">
        <v>1275.9062</v>
      </c>
      <c r="AR82" s="62" t="s">
        <v>659</v>
      </c>
      <c r="AS82" s="62" t="s">
        <v>659</v>
      </c>
      <c r="AT82" s="40">
        <v>3124.0</v>
      </c>
      <c r="AU82" s="40">
        <v>1595.0</v>
      </c>
      <c r="AV82" s="40">
        <v>1625.0</v>
      </c>
      <c r="AW82" s="40">
        <v>829.0</v>
      </c>
      <c r="AX82" s="64"/>
      <c r="AY82" s="66" t="s">
        <v>664</v>
      </c>
      <c r="AZ82" s="64"/>
      <c r="BA82" s="64"/>
      <c r="BB82" s="64"/>
      <c r="BC82" s="40">
        <v>10.0</v>
      </c>
      <c r="BD82" s="40">
        <v>10.0</v>
      </c>
      <c r="BE82" s="40">
        <v>10000.0</v>
      </c>
      <c r="BF82" s="69" t="s">
        <v>370</v>
      </c>
      <c r="BG82" s="69" t="s">
        <v>563</v>
      </c>
      <c r="BH82" s="69" t="s">
        <v>465</v>
      </c>
      <c r="BI82" s="70" t="s">
        <v>373</v>
      </c>
    </row>
    <row r="83" ht="22.5" customHeight="1">
      <c r="A83" s="73" t="s">
        <v>665</v>
      </c>
      <c r="B83" s="68" t="s">
        <v>666</v>
      </c>
      <c r="C83" s="58" t="s">
        <v>50</v>
      </c>
      <c r="D83" s="58" t="s">
        <v>398</v>
      </c>
      <c r="E83" s="68" t="s">
        <v>667</v>
      </c>
      <c r="F83" s="68" t="s">
        <v>666</v>
      </c>
      <c r="G83" s="52">
        <v>100.0</v>
      </c>
      <c r="H83" s="52">
        <v>408329.4382</v>
      </c>
      <c r="I83" s="52">
        <v>50.7506</v>
      </c>
      <c r="J83" s="52">
        <v>11.6258</v>
      </c>
      <c r="K83" s="52">
        <v>0.8958</v>
      </c>
      <c r="L83" s="52">
        <v>479.5664</v>
      </c>
      <c r="M83" s="52">
        <v>0.0</v>
      </c>
      <c r="N83" s="52">
        <v>0.0</v>
      </c>
      <c r="O83" s="52">
        <v>200.04</v>
      </c>
      <c r="P83" s="52">
        <v>217.95</v>
      </c>
      <c r="Q83" s="52">
        <v>141.4214</v>
      </c>
      <c r="R83" s="49">
        <v>2500.0</v>
      </c>
      <c r="S83" s="49">
        <v>150.0</v>
      </c>
      <c r="T83" s="49">
        <v>3000.0</v>
      </c>
      <c r="U83" s="49">
        <v>300.0</v>
      </c>
      <c r="V83" s="52">
        <v>1362.0</v>
      </c>
      <c r="W83" s="52">
        <v>58339.0</v>
      </c>
      <c r="X83" s="52">
        <v>0.0</v>
      </c>
      <c r="Y83" s="52">
        <v>47750.0</v>
      </c>
      <c r="Z83" s="52">
        <v>81.8492</v>
      </c>
      <c r="AA83" s="52">
        <v>10589.0</v>
      </c>
      <c r="AB83" s="51">
        <f t="shared" si="3"/>
        <v>0.1815080821</v>
      </c>
      <c r="AC83" s="52">
        <v>378.0</v>
      </c>
      <c r="AD83" s="51">
        <f t="shared" si="4"/>
        <v>0.006479370575</v>
      </c>
      <c r="AE83" s="52">
        <v>0.0</v>
      </c>
      <c r="AF83" s="52">
        <v>0.0</v>
      </c>
      <c r="AG83" s="52">
        <v>3616.985412845609</v>
      </c>
      <c r="AH83" s="52">
        <v>16441.39999999999</v>
      </c>
      <c r="AI83" s="52">
        <v>61505.0</v>
      </c>
      <c r="AJ83" s="52">
        <v>3920.420581697462</v>
      </c>
      <c r="AK83" s="52">
        <v>71159.545224</v>
      </c>
      <c r="AL83" s="53">
        <v>3.0</v>
      </c>
      <c r="AM83" s="52">
        <v>292.0</v>
      </c>
      <c r="AN83" s="52">
        <v>97.33</v>
      </c>
      <c r="AO83" s="52">
        <v>2.5001</v>
      </c>
      <c r="AP83" s="52">
        <v>2500.1</v>
      </c>
      <c r="AQ83" s="52">
        <v>1123.9844</v>
      </c>
      <c r="AR83" s="58" t="s">
        <v>659</v>
      </c>
      <c r="AS83" s="58" t="s">
        <v>659</v>
      </c>
      <c r="AT83" s="52">
        <v>3125.0</v>
      </c>
      <c r="AU83" s="52">
        <v>1405.0</v>
      </c>
      <c r="AV83" s="52">
        <v>1625.0</v>
      </c>
      <c r="AW83" s="52">
        <v>731.0</v>
      </c>
      <c r="AX83" s="59"/>
      <c r="AY83" s="60" t="s">
        <v>668</v>
      </c>
      <c r="AZ83" s="59"/>
      <c r="BA83" s="59"/>
      <c r="BB83" s="59"/>
      <c r="BC83" s="52">
        <v>10.0</v>
      </c>
      <c r="BD83" s="52">
        <v>10.0</v>
      </c>
      <c r="BE83" s="52">
        <v>10000.0</v>
      </c>
      <c r="BF83" s="68" t="s">
        <v>370</v>
      </c>
      <c r="BG83" s="68" t="s">
        <v>563</v>
      </c>
      <c r="BH83" s="68" t="s">
        <v>465</v>
      </c>
      <c r="BI83" s="71" t="s">
        <v>373</v>
      </c>
    </row>
    <row r="84" ht="22.5" customHeight="1">
      <c r="A84" s="72" t="s">
        <v>669</v>
      </c>
      <c r="B84" s="69" t="s">
        <v>670</v>
      </c>
      <c r="C84" s="62" t="s">
        <v>50</v>
      </c>
      <c r="D84" s="62" t="s">
        <v>383</v>
      </c>
      <c r="E84" s="69" t="s">
        <v>671</v>
      </c>
      <c r="F84" s="69" t="s">
        <v>670</v>
      </c>
      <c r="G84" s="40">
        <v>130.0</v>
      </c>
      <c r="H84" s="40">
        <v>167214.2927</v>
      </c>
      <c r="I84" s="40">
        <v>22.091</v>
      </c>
      <c r="J84" s="40">
        <v>3.9124</v>
      </c>
      <c r="K84" s="40">
        <v>1.8367</v>
      </c>
      <c r="L84" s="40">
        <v>63.2227</v>
      </c>
      <c r="M84" s="40">
        <v>0.0</v>
      </c>
      <c r="N84" s="40">
        <v>0.0</v>
      </c>
      <c r="O84" s="40">
        <v>156.94</v>
      </c>
      <c r="P84" s="40">
        <v>163.052</v>
      </c>
      <c r="Q84" s="40">
        <v>93.5414</v>
      </c>
      <c r="R84" s="36">
        <v>2500.0</v>
      </c>
      <c r="S84" s="36">
        <v>150.0</v>
      </c>
      <c r="T84" s="36">
        <v>3000.0</v>
      </c>
      <c r="U84" s="36">
        <v>300.0</v>
      </c>
      <c r="V84" s="40">
        <v>400.0</v>
      </c>
      <c r="W84" s="40">
        <v>20399.0</v>
      </c>
      <c r="X84" s="40">
        <v>0.0</v>
      </c>
      <c r="Y84" s="40">
        <v>20396.0</v>
      </c>
      <c r="Z84" s="40">
        <v>99.9853</v>
      </c>
      <c r="AA84" s="40">
        <v>3.0</v>
      </c>
      <c r="AB84" s="37">
        <f t="shared" si="3"/>
        <v>0.0001470660326</v>
      </c>
      <c r="AC84" s="40">
        <v>0.0</v>
      </c>
      <c r="AD84" s="37">
        <f t="shared" si="4"/>
        <v>0</v>
      </c>
      <c r="AE84" s="40">
        <v>0.0</v>
      </c>
      <c r="AF84" s="40">
        <v>0.0</v>
      </c>
      <c r="AG84" s="40">
        <v>211.975292906515</v>
      </c>
      <c r="AH84" s="40">
        <v>396.0</v>
      </c>
      <c r="AI84" s="40">
        <v>11212.0</v>
      </c>
      <c r="AJ84" s="40">
        <v>322.7080166377273</v>
      </c>
      <c r="AK84" s="40">
        <v>11298.11077</v>
      </c>
      <c r="AL84" s="41">
        <v>6.0</v>
      </c>
      <c r="AM84" s="40">
        <v>162.0</v>
      </c>
      <c r="AN84" s="40">
        <v>27.0</v>
      </c>
      <c r="AO84" s="40">
        <v>2.3088</v>
      </c>
      <c r="AP84" s="40">
        <v>2308.8</v>
      </c>
      <c r="AQ84" s="40">
        <v>861.4648</v>
      </c>
      <c r="AR84" s="64"/>
      <c r="AS84" s="64"/>
      <c r="AT84" s="40">
        <v>2886.0</v>
      </c>
      <c r="AU84" s="40">
        <v>1077.0</v>
      </c>
      <c r="AV84" s="40">
        <v>1501.0</v>
      </c>
      <c r="AW84" s="40">
        <v>560.0</v>
      </c>
      <c r="AX84" s="64"/>
      <c r="AY84" s="66" t="s">
        <v>672</v>
      </c>
      <c r="AZ84" s="64"/>
      <c r="BA84" s="64"/>
      <c r="BB84" s="64"/>
      <c r="BC84" s="40">
        <v>10.0</v>
      </c>
      <c r="BD84" s="40">
        <v>10.0</v>
      </c>
      <c r="BE84" s="40">
        <v>10000.0</v>
      </c>
      <c r="BF84" s="69" t="s">
        <v>370</v>
      </c>
      <c r="BG84" s="69" t="s">
        <v>563</v>
      </c>
      <c r="BH84" s="69" t="s">
        <v>465</v>
      </c>
      <c r="BI84" s="70" t="s">
        <v>373</v>
      </c>
    </row>
    <row r="85" ht="22.5" customHeight="1">
      <c r="A85" s="73" t="s">
        <v>673</v>
      </c>
      <c r="B85" s="68" t="s">
        <v>674</v>
      </c>
      <c r="C85" s="58" t="s">
        <v>50</v>
      </c>
      <c r="D85" s="58" t="s">
        <v>391</v>
      </c>
      <c r="E85" s="68" t="s">
        <v>675</v>
      </c>
      <c r="F85" s="68" t="s">
        <v>674</v>
      </c>
      <c r="G85" s="52">
        <v>130.0</v>
      </c>
      <c r="H85" s="52">
        <v>159804.878</v>
      </c>
      <c r="I85" s="52">
        <v>20.0732</v>
      </c>
      <c r="J85" s="52">
        <v>10.5065</v>
      </c>
      <c r="K85" s="52">
        <v>1.7742</v>
      </c>
      <c r="L85" s="52">
        <v>63.2227</v>
      </c>
      <c r="M85" s="52">
        <v>0.0</v>
      </c>
      <c r="N85" s="52">
        <v>0.0</v>
      </c>
      <c r="O85" s="52">
        <v>158.61</v>
      </c>
      <c r="P85" s="52">
        <v>163.85</v>
      </c>
      <c r="Q85" s="52">
        <v>93.5414</v>
      </c>
      <c r="R85" s="49">
        <v>2500.0</v>
      </c>
      <c r="S85" s="49">
        <v>150.0</v>
      </c>
      <c r="T85" s="49">
        <v>3000.0</v>
      </c>
      <c r="U85" s="49">
        <v>300.0</v>
      </c>
      <c r="V85" s="52">
        <v>400.0</v>
      </c>
      <c r="W85" s="52">
        <v>19499.0</v>
      </c>
      <c r="X85" s="52">
        <v>0.0</v>
      </c>
      <c r="Y85" s="52">
        <v>19498.0</v>
      </c>
      <c r="Z85" s="52">
        <v>99.9949</v>
      </c>
      <c r="AA85" s="52">
        <v>1.0</v>
      </c>
      <c r="AB85" s="51">
        <f t="shared" si="3"/>
        <v>0.00005128468127</v>
      </c>
      <c r="AC85" s="52">
        <v>0.0</v>
      </c>
      <c r="AD85" s="51">
        <f t="shared" si="4"/>
        <v>0</v>
      </c>
      <c r="AE85" s="52">
        <v>0.0</v>
      </c>
      <c r="AF85" s="52">
        <v>0.0</v>
      </c>
      <c r="AG85" s="52">
        <v>189.6805477203959</v>
      </c>
      <c r="AH85" s="52">
        <v>330.0</v>
      </c>
      <c r="AI85" s="52">
        <v>11166.0</v>
      </c>
      <c r="AJ85" s="52">
        <v>284.6448056631612</v>
      </c>
      <c r="AK85" s="52">
        <v>11295.833252</v>
      </c>
      <c r="AL85" s="53">
        <v>6.0</v>
      </c>
      <c r="AM85" s="52">
        <v>147.0</v>
      </c>
      <c r="AN85" s="52">
        <v>24.5</v>
      </c>
      <c r="AO85" s="52">
        <v>2.3088</v>
      </c>
      <c r="AP85" s="52">
        <v>2308.8</v>
      </c>
      <c r="AQ85" s="52">
        <v>861.4648</v>
      </c>
      <c r="AR85" s="59"/>
      <c r="AS85" s="59"/>
      <c r="AT85" s="52">
        <v>2886.0</v>
      </c>
      <c r="AU85" s="52">
        <v>1077.0</v>
      </c>
      <c r="AV85" s="52">
        <v>1501.0</v>
      </c>
      <c r="AW85" s="52">
        <v>560.0</v>
      </c>
      <c r="AX85" s="59"/>
      <c r="AY85" s="60" t="s">
        <v>676</v>
      </c>
      <c r="AZ85" s="59"/>
      <c r="BA85" s="59"/>
      <c r="BB85" s="59"/>
      <c r="BC85" s="52">
        <v>10.0</v>
      </c>
      <c r="BD85" s="52">
        <v>10.0</v>
      </c>
      <c r="BE85" s="52">
        <v>10000.0</v>
      </c>
      <c r="BF85" s="68" t="s">
        <v>370</v>
      </c>
      <c r="BG85" s="68" t="s">
        <v>563</v>
      </c>
      <c r="BH85" s="68" t="s">
        <v>465</v>
      </c>
      <c r="BI85" s="71" t="s">
        <v>373</v>
      </c>
    </row>
    <row r="86" ht="22.5" customHeight="1">
      <c r="A86" s="72" t="s">
        <v>677</v>
      </c>
      <c r="B86" s="69" t="s">
        <v>678</v>
      </c>
      <c r="C86" s="62" t="s">
        <v>50</v>
      </c>
      <c r="D86" s="62" t="s">
        <v>398</v>
      </c>
      <c r="E86" s="69" t="s">
        <v>679</v>
      </c>
      <c r="F86" s="69" t="s">
        <v>678</v>
      </c>
      <c r="G86" s="40">
        <v>100.0</v>
      </c>
      <c r="H86" s="40">
        <v>483726.5954</v>
      </c>
      <c r="I86" s="40">
        <v>12.6973</v>
      </c>
      <c r="J86" s="40">
        <v>5.3726</v>
      </c>
      <c r="K86" s="40">
        <v>1.8367</v>
      </c>
      <c r="L86" s="40">
        <v>63.6289</v>
      </c>
      <c r="M86" s="40">
        <v>0.0</v>
      </c>
      <c r="N86" s="40">
        <v>0.0</v>
      </c>
      <c r="O86" s="40">
        <v>158.61</v>
      </c>
      <c r="P86" s="40">
        <v>163.265</v>
      </c>
      <c r="Q86" s="40">
        <v>57.4339</v>
      </c>
      <c r="R86" s="36">
        <v>2500.0</v>
      </c>
      <c r="S86" s="36">
        <v>150.0</v>
      </c>
      <c r="T86" s="36">
        <v>3000.0</v>
      </c>
      <c r="U86" s="36">
        <v>300.0</v>
      </c>
      <c r="V86" s="40">
        <v>400.0</v>
      </c>
      <c r="W86" s="40">
        <v>59999.0</v>
      </c>
      <c r="X86" s="40">
        <v>0.0</v>
      </c>
      <c r="Y86" s="40">
        <v>59997.0</v>
      </c>
      <c r="Z86" s="40">
        <v>99.9967</v>
      </c>
      <c r="AA86" s="40">
        <v>2.0</v>
      </c>
      <c r="AB86" s="37">
        <f t="shared" si="3"/>
        <v>0.0000333338889</v>
      </c>
      <c r="AC86" s="40">
        <v>0.0</v>
      </c>
      <c r="AD86" s="37">
        <f t="shared" si="4"/>
        <v>0</v>
      </c>
      <c r="AE86" s="40">
        <v>0.0</v>
      </c>
      <c r="AF86" s="40">
        <v>0.0</v>
      </c>
      <c r="AG86" s="40">
        <v>158.4804080068001</v>
      </c>
      <c r="AH86" s="40">
        <v>218.0</v>
      </c>
      <c r="AI86" s="40">
        <v>11108.0</v>
      </c>
      <c r="AJ86" s="40">
        <v>220.825333644112</v>
      </c>
      <c r="AK86" s="40">
        <v>11191.678453</v>
      </c>
      <c r="AL86" s="41">
        <v>6.0</v>
      </c>
      <c r="AM86" s="40">
        <v>105.0</v>
      </c>
      <c r="AN86" s="40">
        <v>17.5</v>
      </c>
      <c r="AO86" s="40">
        <v>2.3069</v>
      </c>
      <c r="AP86" s="40">
        <v>2306.9</v>
      </c>
      <c r="AQ86" s="40">
        <v>861.4648</v>
      </c>
      <c r="AR86" s="62" t="s">
        <v>659</v>
      </c>
      <c r="AS86" s="62" t="s">
        <v>659</v>
      </c>
      <c r="AT86" s="40">
        <v>2884.0</v>
      </c>
      <c r="AU86" s="40">
        <v>1077.0</v>
      </c>
      <c r="AV86" s="40">
        <v>1499.0</v>
      </c>
      <c r="AW86" s="40">
        <v>560.0</v>
      </c>
      <c r="AX86" s="64"/>
      <c r="AY86" s="66" t="s">
        <v>680</v>
      </c>
      <c r="AZ86" s="64"/>
      <c r="BA86" s="64"/>
      <c r="BB86" s="64"/>
      <c r="BC86" s="40">
        <v>10.0</v>
      </c>
      <c r="BD86" s="40">
        <v>10.0</v>
      </c>
      <c r="BE86" s="40">
        <v>10000.0</v>
      </c>
      <c r="BF86" s="69" t="s">
        <v>370</v>
      </c>
      <c r="BG86" s="69" t="s">
        <v>563</v>
      </c>
      <c r="BH86" s="69" t="s">
        <v>465</v>
      </c>
      <c r="BI86" s="70" t="s">
        <v>373</v>
      </c>
    </row>
    <row r="87" ht="22.5" customHeight="1">
      <c r="A87" s="73" t="s">
        <v>681</v>
      </c>
      <c r="B87" s="68" t="s">
        <v>682</v>
      </c>
      <c r="C87" s="58" t="s">
        <v>50</v>
      </c>
      <c r="D87" s="58" t="s">
        <v>383</v>
      </c>
      <c r="E87" s="68" t="s">
        <v>683</v>
      </c>
      <c r="F87" s="68" t="s">
        <v>682</v>
      </c>
      <c r="G87" s="52">
        <v>130.0</v>
      </c>
      <c r="H87" s="52">
        <v>164755.5939</v>
      </c>
      <c r="I87" s="52">
        <v>5.3814</v>
      </c>
      <c r="J87" s="52">
        <v>0.9065</v>
      </c>
      <c r="K87" s="52">
        <v>1.2717</v>
      </c>
      <c r="L87" s="52">
        <v>130.3438</v>
      </c>
      <c r="M87" s="52">
        <v>0.0</v>
      </c>
      <c r="N87" s="52">
        <v>0.0</v>
      </c>
      <c r="O87" s="52">
        <v>106.14</v>
      </c>
      <c r="P87" s="52">
        <v>109.112</v>
      </c>
      <c r="Q87" s="52">
        <v>148.0216</v>
      </c>
      <c r="R87" s="49">
        <v>2500.0</v>
      </c>
      <c r="S87" s="49">
        <v>150.0</v>
      </c>
      <c r="T87" s="49">
        <v>3000.0</v>
      </c>
      <c r="U87" s="49">
        <v>300.0</v>
      </c>
      <c r="V87" s="52">
        <v>400.0</v>
      </c>
      <c r="W87" s="52">
        <v>20399.0</v>
      </c>
      <c r="X87" s="52">
        <v>0.0</v>
      </c>
      <c r="Y87" s="52">
        <v>20396.0</v>
      </c>
      <c r="Z87" s="52">
        <v>99.9853</v>
      </c>
      <c r="AA87" s="52">
        <v>3.0</v>
      </c>
      <c r="AB87" s="51">
        <f t="shared" si="3"/>
        <v>0.0001470660326</v>
      </c>
      <c r="AC87" s="52">
        <v>0.0</v>
      </c>
      <c r="AD87" s="51">
        <f t="shared" si="4"/>
        <v>0</v>
      </c>
      <c r="AE87" s="52">
        <v>0.0</v>
      </c>
      <c r="AF87" s="52">
        <v>0.0</v>
      </c>
      <c r="AG87" s="52">
        <v>192.1269670081867</v>
      </c>
      <c r="AH87" s="52">
        <v>314.0</v>
      </c>
      <c r="AI87" s="52">
        <v>11203.0</v>
      </c>
      <c r="AJ87" s="52">
        <v>297.5908901006428</v>
      </c>
      <c r="AK87" s="52">
        <v>11639.186679</v>
      </c>
      <c r="AL87" s="53">
        <v>9.0</v>
      </c>
      <c r="AM87" s="52">
        <v>155.0</v>
      </c>
      <c r="AN87" s="52">
        <v>17.22</v>
      </c>
      <c r="AO87" s="52">
        <v>1.7547</v>
      </c>
      <c r="AP87" s="52">
        <v>1754.7</v>
      </c>
      <c r="AQ87" s="52">
        <v>808.6172</v>
      </c>
      <c r="AR87" s="59"/>
      <c r="AS87" s="59"/>
      <c r="AT87" s="52">
        <v>2193.0</v>
      </c>
      <c r="AU87" s="52">
        <v>1011.0</v>
      </c>
      <c r="AV87" s="52">
        <v>1141.0</v>
      </c>
      <c r="AW87" s="52">
        <v>526.0</v>
      </c>
      <c r="AX87" s="59"/>
      <c r="AY87" s="60" t="s">
        <v>684</v>
      </c>
      <c r="AZ87" s="59"/>
      <c r="BA87" s="59"/>
      <c r="BB87" s="59"/>
      <c r="BC87" s="52">
        <v>10.0</v>
      </c>
      <c r="BD87" s="52">
        <v>10.0</v>
      </c>
      <c r="BE87" s="52">
        <v>10000.0</v>
      </c>
      <c r="BF87" s="68" t="s">
        <v>370</v>
      </c>
      <c r="BG87" s="68" t="s">
        <v>563</v>
      </c>
      <c r="BH87" s="68" t="s">
        <v>465</v>
      </c>
      <c r="BI87" s="71" t="s">
        <v>373</v>
      </c>
    </row>
    <row r="88" ht="22.5" customHeight="1">
      <c r="A88" s="72" t="s">
        <v>685</v>
      </c>
      <c r="B88" s="69" t="s">
        <v>686</v>
      </c>
      <c r="C88" s="62" t="s">
        <v>50</v>
      </c>
      <c r="D88" s="62" t="s">
        <v>391</v>
      </c>
      <c r="E88" s="69" t="s">
        <v>687</v>
      </c>
      <c r="F88" s="69" t="s">
        <v>686</v>
      </c>
      <c r="G88" s="40">
        <v>130.0</v>
      </c>
      <c r="H88" s="40">
        <v>159795.6585</v>
      </c>
      <c r="I88" s="40">
        <v>5.1544</v>
      </c>
      <c r="J88" s="40">
        <v>0.7982</v>
      </c>
      <c r="K88" s="40">
        <v>1.4625</v>
      </c>
      <c r="L88" s="40">
        <v>17.6953</v>
      </c>
      <c r="M88" s="40">
        <v>0.0</v>
      </c>
      <c r="N88" s="40">
        <v>0.0</v>
      </c>
      <c r="O88" s="40">
        <v>106.14</v>
      </c>
      <c r="P88" s="40">
        <v>110.896</v>
      </c>
      <c r="Q88" s="40">
        <v>282.8427</v>
      </c>
      <c r="R88" s="36">
        <v>2500.0</v>
      </c>
      <c r="S88" s="36">
        <v>150.0</v>
      </c>
      <c r="T88" s="36">
        <v>3000.0</v>
      </c>
      <c r="U88" s="36">
        <v>300.0</v>
      </c>
      <c r="V88" s="40">
        <v>400.0</v>
      </c>
      <c r="W88" s="40">
        <v>19498.0</v>
      </c>
      <c r="X88" s="40">
        <v>0.0</v>
      </c>
      <c r="Y88" s="40">
        <v>19497.0</v>
      </c>
      <c r="Z88" s="40">
        <v>99.9949</v>
      </c>
      <c r="AA88" s="40">
        <v>1.0</v>
      </c>
      <c r="AB88" s="37">
        <f t="shared" si="3"/>
        <v>0.00005128731152</v>
      </c>
      <c r="AC88" s="40">
        <v>0.0</v>
      </c>
      <c r="AD88" s="37">
        <f t="shared" si="4"/>
        <v>0</v>
      </c>
      <c r="AE88" s="40">
        <v>0.0</v>
      </c>
      <c r="AF88" s="40">
        <v>0.0</v>
      </c>
      <c r="AG88" s="40">
        <v>184.7218689096318</v>
      </c>
      <c r="AH88" s="40">
        <v>311.0</v>
      </c>
      <c r="AI88" s="40">
        <v>11126.0</v>
      </c>
      <c r="AJ88" s="40">
        <v>291.2052707239205</v>
      </c>
      <c r="AK88" s="40">
        <v>11209.780802</v>
      </c>
      <c r="AL88" s="41">
        <v>9.0</v>
      </c>
      <c r="AM88" s="40">
        <v>149.0</v>
      </c>
      <c r="AN88" s="40">
        <v>16.56</v>
      </c>
      <c r="AO88" s="40">
        <v>1.8773</v>
      </c>
      <c r="AP88" s="40">
        <v>1877.3</v>
      </c>
      <c r="AQ88" s="40">
        <v>748.0234</v>
      </c>
      <c r="AR88" s="64"/>
      <c r="AS88" s="64"/>
      <c r="AT88" s="40">
        <v>2347.0</v>
      </c>
      <c r="AU88" s="40">
        <v>935.0</v>
      </c>
      <c r="AV88" s="40">
        <v>1220.0</v>
      </c>
      <c r="AW88" s="40">
        <v>486.0</v>
      </c>
      <c r="AX88" s="64"/>
      <c r="AY88" s="66" t="s">
        <v>688</v>
      </c>
      <c r="AZ88" s="64"/>
      <c r="BA88" s="64"/>
      <c r="BB88" s="64"/>
      <c r="BC88" s="40">
        <v>10.0</v>
      </c>
      <c r="BD88" s="40">
        <v>10.0</v>
      </c>
      <c r="BE88" s="40">
        <v>10000.0</v>
      </c>
      <c r="BF88" s="69" t="s">
        <v>370</v>
      </c>
      <c r="BG88" s="69" t="s">
        <v>563</v>
      </c>
      <c r="BH88" s="69" t="s">
        <v>465</v>
      </c>
      <c r="BI88" s="70" t="s">
        <v>373</v>
      </c>
    </row>
    <row r="89" ht="22.5" customHeight="1">
      <c r="A89" s="73" t="s">
        <v>689</v>
      </c>
      <c r="B89" s="68" t="s">
        <v>690</v>
      </c>
      <c r="C89" s="58" t="s">
        <v>50</v>
      </c>
      <c r="D89" s="58" t="s">
        <v>398</v>
      </c>
      <c r="E89" s="68" t="s">
        <v>691</v>
      </c>
      <c r="F89" s="68" t="s">
        <v>690</v>
      </c>
      <c r="G89" s="52">
        <v>100.0</v>
      </c>
      <c r="H89" s="52">
        <v>483651.0318</v>
      </c>
      <c r="I89" s="52">
        <v>4.8978</v>
      </c>
      <c r="J89" s="52">
        <v>1.8372</v>
      </c>
      <c r="K89" s="52">
        <v>1.7558</v>
      </c>
      <c r="L89" s="52">
        <v>72.8359</v>
      </c>
      <c r="M89" s="52">
        <v>0.0</v>
      </c>
      <c r="N89" s="52">
        <v>0.0</v>
      </c>
      <c r="O89" s="52">
        <v>108.56</v>
      </c>
      <c r="P89" s="52">
        <v>112.552</v>
      </c>
      <c r="Q89" s="52">
        <v>282.8427</v>
      </c>
      <c r="R89" s="49">
        <v>2500.0</v>
      </c>
      <c r="S89" s="49">
        <v>150.0</v>
      </c>
      <c r="T89" s="49">
        <v>3000.0</v>
      </c>
      <c r="U89" s="49">
        <v>300.0</v>
      </c>
      <c r="V89" s="52">
        <v>400.0</v>
      </c>
      <c r="W89" s="52">
        <v>59999.0</v>
      </c>
      <c r="X89" s="52">
        <v>0.0</v>
      </c>
      <c r="Y89" s="52">
        <v>59994.0</v>
      </c>
      <c r="Z89" s="52">
        <v>99.9917</v>
      </c>
      <c r="AA89" s="52">
        <v>5.0</v>
      </c>
      <c r="AB89" s="51">
        <f t="shared" si="3"/>
        <v>0.00008333472225</v>
      </c>
      <c r="AC89" s="52">
        <v>0.0</v>
      </c>
      <c r="AD89" s="51">
        <f t="shared" si="4"/>
        <v>0</v>
      </c>
      <c r="AE89" s="52">
        <v>0.0</v>
      </c>
      <c r="AF89" s="52">
        <v>0.0</v>
      </c>
      <c r="AG89" s="52">
        <v>162.5508591809864</v>
      </c>
      <c r="AH89" s="52">
        <v>210.0</v>
      </c>
      <c r="AI89" s="52">
        <v>11155.0</v>
      </c>
      <c r="AJ89" s="52">
        <v>227.1689963782076</v>
      </c>
      <c r="AK89" s="52">
        <v>11359.95583</v>
      </c>
      <c r="AL89" s="53">
        <v>9.0</v>
      </c>
      <c r="AM89" s="52">
        <v>118.0</v>
      </c>
      <c r="AN89" s="52">
        <v>13.11</v>
      </c>
      <c r="AO89" s="52">
        <v>1.8612</v>
      </c>
      <c r="AP89" s="52">
        <v>1861.2</v>
      </c>
      <c r="AQ89" s="52">
        <v>849.5117</v>
      </c>
      <c r="AR89" s="59"/>
      <c r="AS89" s="59"/>
      <c r="AT89" s="52">
        <v>2327.0</v>
      </c>
      <c r="AU89" s="52">
        <v>1062.0</v>
      </c>
      <c r="AV89" s="52">
        <v>1210.0</v>
      </c>
      <c r="AW89" s="52">
        <v>552.0</v>
      </c>
      <c r="AX89" s="59"/>
      <c r="AY89" s="60" t="s">
        <v>692</v>
      </c>
      <c r="AZ89" s="59"/>
      <c r="BA89" s="59"/>
      <c r="BB89" s="59"/>
      <c r="BC89" s="52">
        <v>10.0</v>
      </c>
      <c r="BD89" s="52">
        <v>10.0</v>
      </c>
      <c r="BE89" s="52">
        <v>10000.0</v>
      </c>
      <c r="BF89" s="68" t="s">
        <v>370</v>
      </c>
      <c r="BG89" s="68" t="s">
        <v>563</v>
      </c>
      <c r="BH89" s="68" t="s">
        <v>465</v>
      </c>
      <c r="BI89" s="71" t="s">
        <v>373</v>
      </c>
    </row>
    <row r="90" ht="22.5" customHeight="1">
      <c r="A90" s="72" t="s">
        <v>693</v>
      </c>
      <c r="B90" s="69" t="s">
        <v>694</v>
      </c>
      <c r="C90" s="62" t="s">
        <v>50</v>
      </c>
      <c r="D90" s="62" t="s">
        <v>404</v>
      </c>
      <c r="E90" s="69" t="s">
        <v>695</v>
      </c>
      <c r="F90" s="69" t="s">
        <v>694</v>
      </c>
      <c r="G90" s="40">
        <v>160.0</v>
      </c>
      <c r="H90" s="40">
        <v>204202.2286</v>
      </c>
      <c r="I90" s="40">
        <v>11.7896</v>
      </c>
      <c r="J90" s="40">
        <v>3.5578</v>
      </c>
      <c r="K90" s="40">
        <v>1.5883</v>
      </c>
      <c r="L90" s="40">
        <v>59.7227</v>
      </c>
      <c r="M90" s="40">
        <v>0.0</v>
      </c>
      <c r="N90" s="40">
        <v>0.0</v>
      </c>
      <c r="O90" s="40">
        <v>108.46</v>
      </c>
      <c r="P90" s="40">
        <v>113.028</v>
      </c>
      <c r="Q90" s="40">
        <v>68.0</v>
      </c>
      <c r="R90" s="36">
        <v>2500.0</v>
      </c>
      <c r="S90" s="36">
        <v>150.0</v>
      </c>
      <c r="T90" s="36">
        <v>3000.0</v>
      </c>
      <c r="U90" s="36">
        <v>300.0</v>
      </c>
      <c r="V90" s="40">
        <v>475.0</v>
      </c>
      <c r="W90" s="40">
        <v>24721.0</v>
      </c>
      <c r="X90" s="40">
        <v>0.0</v>
      </c>
      <c r="Y90" s="40">
        <v>24720.0</v>
      </c>
      <c r="Z90" s="40">
        <v>99.996</v>
      </c>
      <c r="AA90" s="40">
        <v>1.0</v>
      </c>
      <c r="AB90" s="37">
        <f t="shared" si="3"/>
        <v>0.00004045143805</v>
      </c>
      <c r="AC90" s="40">
        <v>0.0</v>
      </c>
      <c r="AD90" s="37">
        <f t="shared" si="4"/>
        <v>0</v>
      </c>
      <c r="AE90" s="40">
        <v>0.0</v>
      </c>
      <c r="AF90" s="40">
        <v>0.0</v>
      </c>
      <c r="AG90" s="40">
        <v>777.6348853201731</v>
      </c>
      <c r="AH90" s="40">
        <v>1696.0</v>
      </c>
      <c r="AI90" s="40">
        <v>11748.0</v>
      </c>
      <c r="AJ90" s="40">
        <v>1835.409013260437</v>
      </c>
      <c r="AK90" s="40">
        <v>13731.254003</v>
      </c>
      <c r="AL90" s="41">
        <v>9.0</v>
      </c>
      <c r="AM90" s="40">
        <v>276.0</v>
      </c>
      <c r="AN90" s="40">
        <v>30.67</v>
      </c>
      <c r="AO90" s="40">
        <v>1.8612</v>
      </c>
      <c r="AP90" s="40">
        <v>1861.2</v>
      </c>
      <c r="AQ90" s="40">
        <v>804.5859</v>
      </c>
      <c r="AR90" s="64"/>
      <c r="AS90" s="64"/>
      <c r="AT90" s="40">
        <v>2327.0</v>
      </c>
      <c r="AU90" s="40">
        <v>1006.0</v>
      </c>
      <c r="AV90" s="40">
        <v>1210.0</v>
      </c>
      <c r="AW90" s="40">
        <v>523.0</v>
      </c>
      <c r="AX90" s="64"/>
      <c r="AY90" s="66" t="s">
        <v>696</v>
      </c>
      <c r="AZ90" s="64"/>
      <c r="BA90" s="64"/>
      <c r="BB90" s="64"/>
      <c r="BC90" s="40">
        <v>10.0</v>
      </c>
      <c r="BD90" s="40">
        <v>10.0</v>
      </c>
      <c r="BE90" s="40">
        <v>10000.0</v>
      </c>
      <c r="BF90" s="69" t="s">
        <v>370</v>
      </c>
      <c r="BG90" s="69" t="s">
        <v>563</v>
      </c>
      <c r="BH90" s="69" t="s">
        <v>465</v>
      </c>
      <c r="BI90" s="70" t="s">
        <v>373</v>
      </c>
    </row>
    <row r="91" ht="22.5" customHeight="1">
      <c r="A91" s="73" t="s">
        <v>697</v>
      </c>
      <c r="B91" s="68" t="s">
        <v>698</v>
      </c>
      <c r="C91" s="58" t="s">
        <v>50</v>
      </c>
      <c r="D91" s="58" t="s">
        <v>383</v>
      </c>
      <c r="E91" s="68" t="s">
        <v>699</v>
      </c>
      <c r="F91" s="68" t="s">
        <v>698</v>
      </c>
      <c r="G91" s="52">
        <v>130.0</v>
      </c>
      <c r="H91" s="52">
        <v>95518.1401</v>
      </c>
      <c r="I91" s="52">
        <v>48.2171</v>
      </c>
      <c r="J91" s="52">
        <v>18.2659</v>
      </c>
      <c r="K91" s="52">
        <v>0.6258</v>
      </c>
      <c r="L91" s="52">
        <v>573.2812</v>
      </c>
      <c r="M91" s="52">
        <v>0.0</v>
      </c>
      <c r="N91" s="52">
        <v>0.0</v>
      </c>
      <c r="O91" s="52">
        <v>165.92</v>
      </c>
      <c r="P91" s="52">
        <v>194.684</v>
      </c>
      <c r="Q91" s="52">
        <v>140.194</v>
      </c>
      <c r="R91" s="49">
        <v>2500.0</v>
      </c>
      <c r="S91" s="49">
        <v>150.0</v>
      </c>
      <c r="T91" s="49">
        <v>3000.0</v>
      </c>
      <c r="U91" s="49">
        <v>300.0</v>
      </c>
      <c r="V91" s="52">
        <v>1500.0</v>
      </c>
      <c r="W91" s="52">
        <v>18041.0</v>
      </c>
      <c r="X91" s="52">
        <v>0.0</v>
      </c>
      <c r="Y91" s="52">
        <v>11384.0</v>
      </c>
      <c r="Z91" s="52">
        <v>63.1007</v>
      </c>
      <c r="AA91" s="52">
        <v>6657.0</v>
      </c>
      <c r="AB91" s="51">
        <f t="shared" si="3"/>
        <v>0.3689928496</v>
      </c>
      <c r="AC91" s="52">
        <v>560.0</v>
      </c>
      <c r="AD91" s="51">
        <f t="shared" si="4"/>
        <v>0.03104040796</v>
      </c>
      <c r="AE91" s="52">
        <v>0.0</v>
      </c>
      <c r="AF91" s="52">
        <v>0.0</v>
      </c>
      <c r="AG91" s="52">
        <v>7222.886480793748</v>
      </c>
      <c r="AH91" s="52">
        <v>25105.0</v>
      </c>
      <c r="AI91" s="52">
        <v>60900.0</v>
      </c>
      <c r="AJ91" s="52">
        <v>7792.945283323118</v>
      </c>
      <c r="AK91" s="52">
        <v>72195.750114</v>
      </c>
      <c r="AL91" s="53">
        <v>3.0</v>
      </c>
      <c r="AM91" s="52">
        <v>520.0</v>
      </c>
      <c r="AN91" s="52">
        <v>173.33</v>
      </c>
      <c r="AO91" s="52">
        <v>2.4597</v>
      </c>
      <c r="AP91" s="52">
        <v>2459.7</v>
      </c>
      <c r="AQ91" s="52">
        <v>1139.3867</v>
      </c>
      <c r="AR91" s="52">
        <v>46.2</v>
      </c>
      <c r="AS91" s="52">
        <v>19.7</v>
      </c>
      <c r="AT91" s="52">
        <v>3075.0</v>
      </c>
      <c r="AU91" s="52">
        <v>1424.0</v>
      </c>
      <c r="AV91" s="52">
        <v>1599.0</v>
      </c>
      <c r="AW91" s="52">
        <v>741.0</v>
      </c>
      <c r="AX91" s="58" t="s">
        <v>700</v>
      </c>
      <c r="AY91" s="60" t="s">
        <v>701</v>
      </c>
      <c r="AZ91" s="59"/>
      <c r="BA91" s="59"/>
      <c r="BB91" s="59"/>
      <c r="BC91" s="52">
        <v>10.0</v>
      </c>
      <c r="BD91" s="52">
        <v>10.0</v>
      </c>
      <c r="BE91" s="52">
        <v>10000.0</v>
      </c>
      <c r="BF91" s="68" t="s">
        <v>370</v>
      </c>
      <c r="BG91" s="68" t="s">
        <v>563</v>
      </c>
      <c r="BH91" s="68" t="s">
        <v>512</v>
      </c>
      <c r="BI91" s="71" t="s">
        <v>373</v>
      </c>
    </row>
    <row r="92" ht="22.5" customHeight="1">
      <c r="A92" s="72" t="s">
        <v>702</v>
      </c>
      <c r="B92" s="69" t="s">
        <v>703</v>
      </c>
      <c r="C92" s="62" t="s">
        <v>50</v>
      </c>
      <c r="D92" s="62" t="s">
        <v>391</v>
      </c>
      <c r="E92" s="69" t="s">
        <v>704</v>
      </c>
      <c r="F92" s="69" t="s">
        <v>703</v>
      </c>
      <c r="G92" s="40">
        <v>130.0</v>
      </c>
      <c r="H92" s="40">
        <v>103839.9754</v>
      </c>
      <c r="I92" s="40">
        <v>45.0952</v>
      </c>
      <c r="J92" s="40">
        <v>16.2327</v>
      </c>
      <c r="K92" s="40">
        <v>0.8342</v>
      </c>
      <c r="L92" s="40">
        <v>331.8516</v>
      </c>
      <c r="M92" s="40">
        <v>0.0</v>
      </c>
      <c r="N92" s="40">
        <v>0.0</v>
      </c>
      <c r="O92" s="40">
        <v>189.28</v>
      </c>
      <c r="P92" s="40">
        <v>191.87</v>
      </c>
      <c r="Q92" s="40">
        <v>140.194</v>
      </c>
      <c r="R92" s="36">
        <v>2500.0</v>
      </c>
      <c r="S92" s="36">
        <v>150.0</v>
      </c>
      <c r="T92" s="36">
        <v>3000.0</v>
      </c>
      <c r="U92" s="36">
        <v>300.0</v>
      </c>
      <c r="V92" s="40">
        <v>1259.0</v>
      </c>
      <c r="W92" s="40">
        <v>17912.0</v>
      </c>
      <c r="X92" s="40">
        <v>0.0</v>
      </c>
      <c r="Y92" s="40">
        <v>12816.0</v>
      </c>
      <c r="Z92" s="40">
        <v>71.5498</v>
      </c>
      <c r="AA92" s="40">
        <v>5098.0</v>
      </c>
      <c r="AB92" s="37">
        <f t="shared" si="3"/>
        <v>0.2846136668</v>
      </c>
      <c r="AC92" s="40">
        <v>165.0</v>
      </c>
      <c r="AD92" s="37">
        <f t="shared" si="4"/>
        <v>0.009211701653</v>
      </c>
      <c r="AE92" s="40">
        <v>0.0</v>
      </c>
      <c r="AF92" s="40">
        <v>0.0</v>
      </c>
      <c r="AG92" s="40">
        <v>4845.313218711623</v>
      </c>
      <c r="AH92" s="40">
        <v>16928.05</v>
      </c>
      <c r="AI92" s="40">
        <v>60260.0</v>
      </c>
      <c r="AJ92" s="40">
        <v>5174.822743102438</v>
      </c>
      <c r="AK92" s="40">
        <v>62790.11182</v>
      </c>
      <c r="AL92" s="41">
        <v>3.0</v>
      </c>
      <c r="AM92" s="40">
        <v>323.0</v>
      </c>
      <c r="AN92" s="40">
        <v>107.67</v>
      </c>
      <c r="AO92" s="40">
        <v>2.5007</v>
      </c>
      <c r="AP92" s="40">
        <v>2500.7</v>
      </c>
      <c r="AQ92" s="40">
        <v>1139.3867</v>
      </c>
      <c r="AR92" s="40">
        <v>45.3</v>
      </c>
      <c r="AS92" s="40">
        <v>20.5</v>
      </c>
      <c r="AT92" s="40">
        <v>3126.0</v>
      </c>
      <c r="AU92" s="40">
        <v>1424.0</v>
      </c>
      <c r="AV92" s="40">
        <v>1625.0</v>
      </c>
      <c r="AW92" s="40">
        <v>741.0</v>
      </c>
      <c r="AX92" s="62" t="s">
        <v>705</v>
      </c>
      <c r="AY92" s="66" t="s">
        <v>706</v>
      </c>
      <c r="AZ92" s="64"/>
      <c r="BA92" s="64"/>
      <c r="BB92" s="64"/>
      <c r="BC92" s="40">
        <v>10.0</v>
      </c>
      <c r="BD92" s="40">
        <v>10.0</v>
      </c>
      <c r="BE92" s="40">
        <v>10000.0</v>
      </c>
      <c r="BF92" s="69" t="s">
        <v>370</v>
      </c>
      <c r="BG92" s="69" t="s">
        <v>563</v>
      </c>
      <c r="BH92" s="69" t="s">
        <v>512</v>
      </c>
      <c r="BI92" s="70" t="s">
        <v>373</v>
      </c>
    </row>
    <row r="93" ht="22.5" customHeight="1">
      <c r="A93" s="73" t="s">
        <v>707</v>
      </c>
      <c r="B93" s="68" t="s">
        <v>708</v>
      </c>
      <c r="C93" s="58" t="s">
        <v>50</v>
      </c>
      <c r="D93" s="58" t="s">
        <v>398</v>
      </c>
      <c r="E93" s="68" t="s">
        <v>709</v>
      </c>
      <c r="F93" s="68" t="s">
        <v>708</v>
      </c>
      <c r="G93" s="52">
        <v>100.0</v>
      </c>
      <c r="H93" s="52">
        <v>375820.6682</v>
      </c>
      <c r="I93" s="52">
        <v>45.9792</v>
      </c>
      <c r="J93" s="52">
        <v>25.5689</v>
      </c>
      <c r="K93" s="52">
        <v>0.8358</v>
      </c>
      <c r="L93" s="52">
        <v>312.6562</v>
      </c>
      <c r="M93" s="52">
        <v>0.0</v>
      </c>
      <c r="N93" s="52">
        <v>0.0</v>
      </c>
      <c r="O93" s="52">
        <v>192.28</v>
      </c>
      <c r="P93" s="52">
        <v>209.75</v>
      </c>
      <c r="Q93" s="52">
        <v>137.4649</v>
      </c>
      <c r="R93" s="49">
        <v>2500.0</v>
      </c>
      <c r="S93" s="49">
        <v>150.0</v>
      </c>
      <c r="T93" s="49">
        <v>3000.0</v>
      </c>
      <c r="U93" s="49">
        <v>300.0</v>
      </c>
      <c r="V93" s="52">
        <v>1500.0</v>
      </c>
      <c r="W93" s="52">
        <v>58183.0</v>
      </c>
      <c r="X93" s="52">
        <v>0.0</v>
      </c>
      <c r="Y93" s="52">
        <v>47711.0</v>
      </c>
      <c r="Z93" s="52">
        <v>82.0016</v>
      </c>
      <c r="AA93" s="52">
        <v>10472.0</v>
      </c>
      <c r="AB93" s="51">
        <f t="shared" si="3"/>
        <v>0.1799838441</v>
      </c>
      <c r="AC93" s="52">
        <v>979.0</v>
      </c>
      <c r="AD93" s="51">
        <f t="shared" si="4"/>
        <v>0.01682622072</v>
      </c>
      <c r="AE93" s="52">
        <v>0.0</v>
      </c>
      <c r="AF93" s="52">
        <v>0.0</v>
      </c>
      <c r="AG93" s="52">
        <v>3967.064279944314</v>
      </c>
      <c r="AH93" s="52">
        <v>16209.69999999998</v>
      </c>
      <c r="AI93" s="52">
        <v>61042.0</v>
      </c>
      <c r="AJ93" s="52">
        <v>4251.371439044947</v>
      </c>
      <c r="AK93" s="52">
        <v>71011.811319</v>
      </c>
      <c r="AL93" s="53">
        <v>3.0</v>
      </c>
      <c r="AM93" s="52">
        <v>431.0</v>
      </c>
      <c r="AN93" s="52">
        <v>143.67</v>
      </c>
      <c r="AO93" s="52">
        <v>2.5014</v>
      </c>
      <c r="AP93" s="52">
        <v>2501.4</v>
      </c>
      <c r="AQ93" s="52">
        <v>1147.3008</v>
      </c>
      <c r="AR93" s="52">
        <v>45.1</v>
      </c>
      <c r="AS93" s="52">
        <v>22.0</v>
      </c>
      <c r="AT93" s="52">
        <v>3127.0</v>
      </c>
      <c r="AU93" s="52">
        <v>1434.0</v>
      </c>
      <c r="AV93" s="52">
        <v>1626.0</v>
      </c>
      <c r="AW93" s="52">
        <v>746.0</v>
      </c>
      <c r="AX93" s="58" t="s">
        <v>710</v>
      </c>
      <c r="AY93" s="60" t="s">
        <v>711</v>
      </c>
      <c r="AZ93" s="59"/>
      <c r="BA93" s="59"/>
      <c r="BB93" s="59"/>
      <c r="BC93" s="52">
        <v>10.0</v>
      </c>
      <c r="BD93" s="52">
        <v>10.0</v>
      </c>
      <c r="BE93" s="52">
        <v>10000.0</v>
      </c>
      <c r="BF93" s="68" t="s">
        <v>370</v>
      </c>
      <c r="BG93" s="68" t="s">
        <v>563</v>
      </c>
      <c r="BH93" s="68" t="s">
        <v>512</v>
      </c>
      <c r="BI93" s="71" t="s">
        <v>373</v>
      </c>
    </row>
    <row r="94" ht="22.5" customHeight="1">
      <c r="A94" s="72" t="s">
        <v>712</v>
      </c>
      <c r="B94" s="69" t="s">
        <v>713</v>
      </c>
      <c r="C94" s="62" t="s">
        <v>50</v>
      </c>
      <c r="D94" s="62" t="s">
        <v>404</v>
      </c>
      <c r="E94" s="69" t="s">
        <v>714</v>
      </c>
      <c r="F94" s="69" t="s">
        <v>713</v>
      </c>
      <c r="G94" s="40">
        <v>160.0</v>
      </c>
      <c r="H94" s="40">
        <v>102518.1408</v>
      </c>
      <c r="I94" s="40">
        <v>56.9466</v>
      </c>
      <c r="J94" s="40">
        <v>26.2323</v>
      </c>
      <c r="K94" s="40">
        <v>0.6992</v>
      </c>
      <c r="L94" s="40">
        <v>277.8281</v>
      </c>
      <c r="M94" s="40">
        <v>0.0</v>
      </c>
      <c r="N94" s="40">
        <v>0.0</v>
      </c>
      <c r="O94" s="40">
        <v>46.9233</v>
      </c>
      <c r="P94" s="40">
        <v>42.0314</v>
      </c>
      <c r="Q94" s="40">
        <v>125.688</v>
      </c>
      <c r="R94" s="36">
        <v>2500.0</v>
      </c>
      <c r="S94" s="36">
        <v>150.0</v>
      </c>
      <c r="T94" s="36">
        <v>3000.0</v>
      </c>
      <c r="U94" s="36">
        <v>300.0</v>
      </c>
      <c r="V94" s="40">
        <v>1500.0</v>
      </c>
      <c r="W94" s="40">
        <v>21553.0</v>
      </c>
      <c r="X94" s="40">
        <v>0.0</v>
      </c>
      <c r="Y94" s="40">
        <v>5522.0</v>
      </c>
      <c r="Z94" s="40">
        <v>25.6206</v>
      </c>
      <c r="AA94" s="40">
        <v>16031.0</v>
      </c>
      <c r="AB94" s="37">
        <f t="shared" si="3"/>
        <v>0.7437943674</v>
      </c>
      <c r="AC94" s="40">
        <v>1381.0</v>
      </c>
      <c r="AD94" s="37">
        <f t="shared" si="4"/>
        <v>0.06407460678</v>
      </c>
      <c r="AE94" s="40">
        <v>0.0</v>
      </c>
      <c r="AF94" s="40">
        <v>0.0</v>
      </c>
      <c r="AG94" s="40">
        <v>11866.43335034566</v>
      </c>
      <c r="AH94" s="40">
        <v>60030.0</v>
      </c>
      <c r="AI94" s="40">
        <v>61120.0</v>
      </c>
      <c r="AJ94" s="40">
        <v>12853.8382913603</v>
      </c>
      <c r="AK94" s="40">
        <v>66140.965933</v>
      </c>
      <c r="AL94" s="41">
        <v>3.0</v>
      </c>
      <c r="AM94" s="40">
        <v>354.0</v>
      </c>
      <c r="AN94" s="40">
        <v>118.0</v>
      </c>
      <c r="AO94" s="40">
        <v>2.5007</v>
      </c>
      <c r="AP94" s="40">
        <v>2500.7</v>
      </c>
      <c r="AQ94" s="40">
        <v>1145.0391</v>
      </c>
      <c r="AR94" s="40">
        <v>39.5</v>
      </c>
      <c r="AS94" s="40">
        <v>20.9</v>
      </c>
      <c r="AT94" s="40">
        <v>3126.0</v>
      </c>
      <c r="AU94" s="40">
        <v>1431.0</v>
      </c>
      <c r="AV94" s="40">
        <v>1625.0</v>
      </c>
      <c r="AW94" s="40">
        <v>744.0</v>
      </c>
      <c r="AX94" s="62" t="s">
        <v>715</v>
      </c>
      <c r="AY94" s="66" t="s">
        <v>716</v>
      </c>
      <c r="AZ94" s="64"/>
      <c r="BA94" s="64"/>
      <c r="BB94" s="64"/>
      <c r="BC94" s="40">
        <v>10.0</v>
      </c>
      <c r="BD94" s="40">
        <v>10.0</v>
      </c>
      <c r="BE94" s="40">
        <v>10000.0</v>
      </c>
      <c r="BF94" s="69" t="s">
        <v>370</v>
      </c>
      <c r="BG94" s="69" t="s">
        <v>563</v>
      </c>
      <c r="BH94" s="69" t="s">
        <v>512</v>
      </c>
      <c r="BI94" s="70" t="s">
        <v>373</v>
      </c>
    </row>
    <row r="95" ht="22.5" customHeight="1">
      <c r="A95" s="73" t="s">
        <v>717</v>
      </c>
      <c r="B95" s="68" t="s">
        <v>718</v>
      </c>
      <c r="C95" s="58" t="s">
        <v>50</v>
      </c>
      <c r="D95" s="58" t="s">
        <v>383</v>
      </c>
      <c r="E95" s="68" t="s">
        <v>719</v>
      </c>
      <c r="F95" s="68" t="s">
        <v>718</v>
      </c>
      <c r="G95" s="52">
        <v>130.0</v>
      </c>
      <c r="H95" s="52">
        <v>164747.1959</v>
      </c>
      <c r="I95" s="52">
        <v>15.494</v>
      </c>
      <c r="J95" s="52">
        <v>3.4157</v>
      </c>
      <c r="K95" s="52">
        <v>1.41</v>
      </c>
      <c r="L95" s="52">
        <v>226.3633</v>
      </c>
      <c r="M95" s="52">
        <v>0.0</v>
      </c>
      <c r="N95" s="52">
        <v>0.0</v>
      </c>
      <c r="O95" s="52">
        <v>154.98</v>
      </c>
      <c r="P95" s="52">
        <v>157.485</v>
      </c>
      <c r="Q95" s="52">
        <v>21.5309</v>
      </c>
      <c r="R95" s="49">
        <v>2500.0</v>
      </c>
      <c r="S95" s="49">
        <v>150.0</v>
      </c>
      <c r="T95" s="49">
        <v>3000.0</v>
      </c>
      <c r="U95" s="49">
        <v>300.0</v>
      </c>
      <c r="V95" s="52">
        <v>400.0</v>
      </c>
      <c r="W95" s="52">
        <v>20399.0</v>
      </c>
      <c r="X95" s="52">
        <v>0.0</v>
      </c>
      <c r="Y95" s="52">
        <v>20399.0</v>
      </c>
      <c r="Z95" s="52">
        <v>100.0</v>
      </c>
      <c r="AA95" s="52">
        <v>0.0</v>
      </c>
      <c r="AB95" s="51">
        <f t="shared" si="3"/>
        <v>0</v>
      </c>
      <c r="AC95" s="52">
        <v>0.0</v>
      </c>
      <c r="AD95" s="51">
        <f t="shared" si="4"/>
        <v>0</v>
      </c>
      <c r="AE95" s="52">
        <v>0.0</v>
      </c>
      <c r="AF95" s="52">
        <v>0.0</v>
      </c>
      <c r="AG95" s="52">
        <v>179.1659885288495</v>
      </c>
      <c r="AH95" s="52">
        <v>287.0</v>
      </c>
      <c r="AI95" s="52">
        <v>5174.0</v>
      </c>
      <c r="AJ95" s="52">
        <v>262.12782317099</v>
      </c>
      <c r="AK95" s="52">
        <v>5238.357661</v>
      </c>
      <c r="AL95" s="53">
        <v>6.0</v>
      </c>
      <c r="AM95" s="52">
        <v>155.0</v>
      </c>
      <c r="AN95" s="52">
        <v>25.83</v>
      </c>
      <c r="AO95" s="52">
        <v>2.1617</v>
      </c>
      <c r="AP95" s="52">
        <v>2161.7</v>
      </c>
      <c r="AQ95" s="52">
        <v>797.3555</v>
      </c>
      <c r="AR95" s="52">
        <v>59.3</v>
      </c>
      <c r="AS95" s="52">
        <v>24.5</v>
      </c>
      <c r="AT95" s="52">
        <v>2702.0</v>
      </c>
      <c r="AU95" s="52">
        <v>997.0</v>
      </c>
      <c r="AV95" s="52">
        <v>1405.0</v>
      </c>
      <c r="AW95" s="52">
        <v>518.0</v>
      </c>
      <c r="AX95" s="59"/>
      <c r="AY95" s="60" t="s">
        <v>720</v>
      </c>
      <c r="AZ95" s="59"/>
      <c r="BA95" s="59"/>
      <c r="BB95" s="59"/>
      <c r="BC95" s="52">
        <v>10.0</v>
      </c>
      <c r="BD95" s="52">
        <v>10.0</v>
      </c>
      <c r="BE95" s="52">
        <v>10000.0</v>
      </c>
      <c r="BF95" s="68" t="s">
        <v>370</v>
      </c>
      <c r="BG95" s="68" t="s">
        <v>563</v>
      </c>
      <c r="BH95" s="68" t="s">
        <v>512</v>
      </c>
      <c r="BI95" s="71" t="s">
        <v>373</v>
      </c>
    </row>
    <row r="96" ht="22.5" customHeight="1">
      <c r="A96" s="72" t="s">
        <v>721</v>
      </c>
      <c r="B96" s="69" t="s">
        <v>722</v>
      </c>
      <c r="C96" s="62" t="s">
        <v>50</v>
      </c>
      <c r="D96" s="62" t="s">
        <v>391</v>
      </c>
      <c r="E96" s="69" t="s">
        <v>723</v>
      </c>
      <c r="F96" s="69" t="s">
        <v>722</v>
      </c>
      <c r="G96" s="40">
        <v>130.0</v>
      </c>
      <c r="H96" s="40">
        <v>159807.9512</v>
      </c>
      <c r="I96" s="40">
        <v>14.384</v>
      </c>
      <c r="J96" s="40">
        <v>6.0219</v>
      </c>
      <c r="K96" s="40">
        <v>1.3292</v>
      </c>
      <c r="L96" s="40">
        <v>135.7695</v>
      </c>
      <c r="M96" s="40">
        <v>0.0</v>
      </c>
      <c r="N96" s="40">
        <v>0.0</v>
      </c>
      <c r="O96" s="40">
        <v>156.26</v>
      </c>
      <c r="P96" s="40">
        <v>159.8382</v>
      </c>
      <c r="Q96" s="40">
        <v>30.1034</v>
      </c>
      <c r="R96" s="36">
        <v>2500.0</v>
      </c>
      <c r="S96" s="36">
        <v>150.0</v>
      </c>
      <c r="T96" s="36">
        <v>3000.0</v>
      </c>
      <c r="U96" s="36">
        <v>300.0</v>
      </c>
      <c r="V96" s="40">
        <v>400.0</v>
      </c>
      <c r="W96" s="40">
        <v>19499.0</v>
      </c>
      <c r="X96" s="40">
        <v>0.0</v>
      </c>
      <c r="Y96" s="40">
        <v>19499.0</v>
      </c>
      <c r="Z96" s="40">
        <v>100.0</v>
      </c>
      <c r="AA96" s="40">
        <v>0.0</v>
      </c>
      <c r="AB96" s="37">
        <f t="shared" si="3"/>
        <v>0</v>
      </c>
      <c r="AC96" s="40">
        <v>0.0</v>
      </c>
      <c r="AD96" s="37">
        <f t="shared" si="4"/>
        <v>0</v>
      </c>
      <c r="AE96" s="40">
        <v>0.0</v>
      </c>
      <c r="AF96" s="40">
        <v>0.0</v>
      </c>
      <c r="AG96" s="40">
        <v>173.0492845786963</v>
      </c>
      <c r="AH96" s="40">
        <v>269.0</v>
      </c>
      <c r="AI96" s="40">
        <v>5163.0</v>
      </c>
      <c r="AJ96" s="40">
        <v>253.431116027848</v>
      </c>
      <c r="AK96" s="40">
        <v>5228.626147</v>
      </c>
      <c r="AL96" s="41">
        <v>6.0</v>
      </c>
      <c r="AM96" s="40">
        <v>157.0</v>
      </c>
      <c r="AN96" s="40">
        <v>26.17</v>
      </c>
      <c r="AO96" s="40">
        <v>2.2311</v>
      </c>
      <c r="AP96" s="40">
        <v>2231.1</v>
      </c>
      <c r="AQ96" s="40">
        <v>796.7148</v>
      </c>
      <c r="AR96" s="40">
        <v>53.2</v>
      </c>
      <c r="AS96" s="40">
        <v>24.4</v>
      </c>
      <c r="AT96" s="40">
        <v>2789.0</v>
      </c>
      <c r="AU96" s="40">
        <v>996.0</v>
      </c>
      <c r="AV96" s="40">
        <v>1450.0</v>
      </c>
      <c r="AW96" s="40">
        <v>518.0</v>
      </c>
      <c r="AX96" s="64"/>
      <c r="AY96" s="66" t="s">
        <v>724</v>
      </c>
      <c r="AZ96" s="64"/>
      <c r="BA96" s="64"/>
      <c r="BB96" s="64"/>
      <c r="BC96" s="40">
        <v>10.0</v>
      </c>
      <c r="BD96" s="40">
        <v>10.0</v>
      </c>
      <c r="BE96" s="40">
        <v>10000.0</v>
      </c>
      <c r="BF96" s="69" t="s">
        <v>370</v>
      </c>
      <c r="BG96" s="69" t="s">
        <v>563</v>
      </c>
      <c r="BH96" s="69" t="s">
        <v>512</v>
      </c>
      <c r="BI96" s="70" t="s">
        <v>373</v>
      </c>
    </row>
    <row r="97" ht="22.5" customHeight="1">
      <c r="A97" s="73" t="s">
        <v>725</v>
      </c>
      <c r="B97" s="68" t="s">
        <v>726</v>
      </c>
      <c r="C97" s="58" t="s">
        <v>50</v>
      </c>
      <c r="D97" s="58" t="s">
        <v>398</v>
      </c>
      <c r="E97" s="68" t="s">
        <v>727</v>
      </c>
      <c r="F97" s="68" t="s">
        <v>726</v>
      </c>
      <c r="G97" s="52">
        <v>100.0</v>
      </c>
      <c r="H97" s="52">
        <v>483669.1603</v>
      </c>
      <c r="I97" s="52">
        <v>8.0643</v>
      </c>
      <c r="J97" s="52">
        <v>4.1226</v>
      </c>
      <c r="K97" s="52">
        <v>1.41</v>
      </c>
      <c r="L97" s="52">
        <v>228.8672</v>
      </c>
      <c r="M97" s="52">
        <v>0.0</v>
      </c>
      <c r="N97" s="52">
        <v>0.0</v>
      </c>
      <c r="O97" s="52">
        <v>157.7</v>
      </c>
      <c r="P97" s="52">
        <v>159.8382</v>
      </c>
      <c r="Q97" s="52">
        <v>77.3067</v>
      </c>
      <c r="R97" s="49">
        <v>2500.0</v>
      </c>
      <c r="S97" s="49">
        <v>150.0</v>
      </c>
      <c r="T97" s="49">
        <v>3000.0</v>
      </c>
      <c r="U97" s="49">
        <v>300.0</v>
      </c>
      <c r="V97" s="52">
        <v>400.0</v>
      </c>
      <c r="W97" s="52">
        <v>59999.0</v>
      </c>
      <c r="X97" s="52">
        <v>0.0</v>
      </c>
      <c r="Y97" s="52">
        <v>59997.0</v>
      </c>
      <c r="Z97" s="52">
        <v>99.9967</v>
      </c>
      <c r="AA97" s="52">
        <v>2.0</v>
      </c>
      <c r="AB97" s="51">
        <f t="shared" si="3"/>
        <v>0.0000333338889</v>
      </c>
      <c r="AC97" s="52">
        <v>0.0</v>
      </c>
      <c r="AD97" s="51">
        <f t="shared" si="4"/>
        <v>0</v>
      </c>
      <c r="AE97" s="52">
        <v>0.0</v>
      </c>
      <c r="AF97" s="52">
        <v>0.0</v>
      </c>
      <c r="AG97" s="52">
        <v>148.6476441274021</v>
      </c>
      <c r="AH97" s="52">
        <v>199.0</v>
      </c>
      <c r="AI97" s="52">
        <v>5163.0</v>
      </c>
      <c r="AJ97" s="52">
        <v>206.9813750268814</v>
      </c>
      <c r="AK97" s="52">
        <v>5237.332703</v>
      </c>
      <c r="AL97" s="53">
        <v>6.0</v>
      </c>
      <c r="AM97" s="52">
        <v>117.0</v>
      </c>
      <c r="AN97" s="52">
        <v>19.5</v>
      </c>
      <c r="AO97" s="52">
        <v>2.2311</v>
      </c>
      <c r="AP97" s="52">
        <v>2231.1</v>
      </c>
      <c r="AQ97" s="52">
        <v>825.3203</v>
      </c>
      <c r="AR97" s="52">
        <v>52.2</v>
      </c>
      <c r="AS97" s="52">
        <v>25.3</v>
      </c>
      <c r="AT97" s="52">
        <v>2789.0</v>
      </c>
      <c r="AU97" s="52">
        <v>1032.0</v>
      </c>
      <c r="AV97" s="52">
        <v>1450.0</v>
      </c>
      <c r="AW97" s="52">
        <v>536.0</v>
      </c>
      <c r="AX97" s="59"/>
      <c r="AY97" s="60" t="s">
        <v>728</v>
      </c>
      <c r="AZ97" s="59"/>
      <c r="BA97" s="59"/>
      <c r="BB97" s="59"/>
      <c r="BC97" s="52">
        <v>10.0</v>
      </c>
      <c r="BD97" s="52">
        <v>10.0</v>
      </c>
      <c r="BE97" s="52">
        <v>10000.0</v>
      </c>
      <c r="BF97" s="68" t="s">
        <v>370</v>
      </c>
      <c r="BG97" s="68" t="s">
        <v>563</v>
      </c>
      <c r="BH97" s="68" t="s">
        <v>512</v>
      </c>
      <c r="BI97" s="71" t="s">
        <v>373</v>
      </c>
    </row>
    <row r="98" ht="22.5" customHeight="1">
      <c r="A98" s="72" t="s">
        <v>729</v>
      </c>
      <c r="B98" s="69" t="s">
        <v>730</v>
      </c>
      <c r="C98" s="62" t="s">
        <v>50</v>
      </c>
      <c r="D98" s="62" t="s">
        <v>404</v>
      </c>
      <c r="E98" s="69" t="s">
        <v>731</v>
      </c>
      <c r="F98" s="69" t="s">
        <v>730</v>
      </c>
      <c r="G98" s="40">
        <v>160.0</v>
      </c>
      <c r="H98" s="40">
        <v>215873.4857</v>
      </c>
      <c r="I98" s="40">
        <v>38.9303</v>
      </c>
      <c r="J98" s="40">
        <v>15.0819</v>
      </c>
      <c r="K98" s="40">
        <v>1.27</v>
      </c>
      <c r="L98" s="40">
        <v>84.4141</v>
      </c>
      <c r="M98" s="40">
        <v>0.0</v>
      </c>
      <c r="N98" s="40">
        <v>0.0</v>
      </c>
      <c r="O98" s="40">
        <v>179.28</v>
      </c>
      <c r="P98" s="40">
        <v>183.675</v>
      </c>
      <c r="Q98" s="40">
        <v>81.491</v>
      </c>
      <c r="R98" s="36">
        <v>2500.0</v>
      </c>
      <c r="S98" s="36">
        <v>150.0</v>
      </c>
      <c r="T98" s="36">
        <v>3000.0</v>
      </c>
      <c r="U98" s="36">
        <v>300.0</v>
      </c>
      <c r="V98" s="40">
        <v>434.0</v>
      </c>
      <c r="W98" s="40">
        <v>26232.0</v>
      </c>
      <c r="X98" s="40">
        <v>0.0</v>
      </c>
      <c r="Y98" s="40">
        <v>26232.0</v>
      </c>
      <c r="Z98" s="40">
        <v>100.0</v>
      </c>
      <c r="AA98" s="40">
        <v>0.0</v>
      </c>
      <c r="AB98" s="37">
        <f t="shared" si="3"/>
        <v>0</v>
      </c>
      <c r="AC98" s="40">
        <v>0.0</v>
      </c>
      <c r="AD98" s="37">
        <f t="shared" si="4"/>
        <v>0</v>
      </c>
      <c r="AE98" s="40">
        <v>0.0</v>
      </c>
      <c r="AF98" s="40">
        <v>0.0</v>
      </c>
      <c r="AG98" s="40">
        <v>522.4656526379994</v>
      </c>
      <c r="AH98" s="40">
        <v>1295.449999999997</v>
      </c>
      <c r="AI98" s="40">
        <v>5856.0</v>
      </c>
      <c r="AJ98" s="40">
        <v>1089.468849408738</v>
      </c>
      <c r="AK98" s="40">
        <v>8302.227319</v>
      </c>
      <c r="AL98" s="41">
        <v>6.0</v>
      </c>
      <c r="AM98" s="40">
        <v>235.0</v>
      </c>
      <c r="AN98" s="40">
        <v>39.17</v>
      </c>
      <c r="AO98" s="40">
        <v>2.2478</v>
      </c>
      <c r="AP98" s="40">
        <v>2247.8</v>
      </c>
      <c r="AQ98" s="40">
        <v>902.3828</v>
      </c>
      <c r="AR98" s="74">
        <v>65.0</v>
      </c>
      <c r="AS98" s="40">
        <v>26.1</v>
      </c>
      <c r="AT98" s="40">
        <v>2810.0</v>
      </c>
      <c r="AU98" s="40">
        <v>1128.0</v>
      </c>
      <c r="AV98" s="40">
        <v>1461.0</v>
      </c>
      <c r="AW98" s="40">
        <v>587.0</v>
      </c>
      <c r="AX98" s="64"/>
      <c r="AY98" s="66" t="s">
        <v>732</v>
      </c>
      <c r="AZ98" s="64"/>
      <c r="BA98" s="64"/>
      <c r="BB98" s="64"/>
      <c r="BC98" s="40">
        <v>10.0</v>
      </c>
      <c r="BD98" s="40">
        <v>10.0</v>
      </c>
      <c r="BE98" s="40">
        <v>10000.0</v>
      </c>
      <c r="BF98" s="69" t="s">
        <v>370</v>
      </c>
      <c r="BG98" s="69" t="s">
        <v>563</v>
      </c>
      <c r="BH98" s="69" t="s">
        <v>512</v>
      </c>
      <c r="BI98" s="70" t="s">
        <v>373</v>
      </c>
    </row>
    <row r="99" ht="22.5" customHeight="1">
      <c r="A99" s="73" t="s">
        <v>733</v>
      </c>
      <c r="B99" s="68" t="s">
        <v>734</v>
      </c>
      <c r="C99" s="58" t="s">
        <v>50</v>
      </c>
      <c r="D99" s="58" t="s">
        <v>404</v>
      </c>
      <c r="E99" s="68" t="s">
        <v>735</v>
      </c>
      <c r="F99" s="68" t="s">
        <v>734</v>
      </c>
      <c r="G99" s="52">
        <v>160.0</v>
      </c>
      <c r="H99" s="52">
        <v>215366.4</v>
      </c>
      <c r="I99" s="52">
        <v>10.1599</v>
      </c>
      <c r="J99" s="52">
        <v>2.3017</v>
      </c>
      <c r="K99" s="52">
        <v>1.95</v>
      </c>
      <c r="L99" s="52">
        <v>38.4258</v>
      </c>
      <c r="M99" s="52">
        <v>0.0</v>
      </c>
      <c r="N99" s="52">
        <v>0.0</v>
      </c>
      <c r="O99" s="52">
        <v>124.76</v>
      </c>
      <c r="P99" s="52">
        <v>131.912</v>
      </c>
      <c r="Q99" s="52">
        <v>58.2255</v>
      </c>
      <c r="R99" s="49">
        <v>2500.0</v>
      </c>
      <c r="S99" s="49">
        <v>150.0</v>
      </c>
      <c r="T99" s="49">
        <v>3000.0</v>
      </c>
      <c r="U99" s="49">
        <v>300.0</v>
      </c>
      <c r="V99" s="52">
        <v>439.0</v>
      </c>
      <c r="W99" s="52">
        <v>26172.0</v>
      </c>
      <c r="X99" s="52">
        <v>0.0</v>
      </c>
      <c r="Y99" s="52">
        <v>26170.0</v>
      </c>
      <c r="Z99" s="52">
        <v>99.9924</v>
      </c>
      <c r="AA99" s="52">
        <v>2.0</v>
      </c>
      <c r="AB99" s="51">
        <f t="shared" si="3"/>
        <v>0.00007641754547</v>
      </c>
      <c r="AC99" s="52">
        <v>0.0</v>
      </c>
      <c r="AD99" s="51">
        <f t="shared" si="4"/>
        <v>0</v>
      </c>
      <c r="AE99" s="52">
        <v>0.0</v>
      </c>
      <c r="AF99" s="52">
        <v>0.0</v>
      </c>
      <c r="AG99" s="52">
        <v>567.1820265933059</v>
      </c>
      <c r="AH99" s="52">
        <v>1513.0</v>
      </c>
      <c r="AI99" s="52">
        <v>6290.0</v>
      </c>
      <c r="AJ99" s="52">
        <v>1202.289894221428</v>
      </c>
      <c r="AK99" s="52">
        <v>7188.851968</v>
      </c>
      <c r="AL99" s="53">
        <v>9.0</v>
      </c>
      <c r="AM99" s="52">
        <v>266.0</v>
      </c>
      <c r="AN99" s="52">
        <v>44.33</v>
      </c>
      <c r="AO99" s="52">
        <v>1.8242</v>
      </c>
      <c r="AP99" s="52">
        <v>1824.2</v>
      </c>
      <c r="AQ99" s="52">
        <v>897.332</v>
      </c>
      <c r="AR99" s="52">
        <v>69.8</v>
      </c>
      <c r="AS99" s="52">
        <v>27.3</v>
      </c>
      <c r="AT99" s="52">
        <v>2280.0</v>
      </c>
      <c r="AU99" s="52">
        <v>1122.0</v>
      </c>
      <c r="AV99" s="52">
        <v>1186.0</v>
      </c>
      <c r="AW99" s="52">
        <v>583.0</v>
      </c>
      <c r="AX99" s="59"/>
      <c r="AY99" s="60" t="s">
        <v>736</v>
      </c>
      <c r="AZ99" s="59"/>
      <c r="BA99" s="59"/>
      <c r="BB99" s="59"/>
      <c r="BC99" s="52">
        <v>10.0</v>
      </c>
      <c r="BD99" s="52">
        <v>10.0</v>
      </c>
      <c r="BE99" s="52">
        <v>10000.0</v>
      </c>
      <c r="BF99" s="68" t="s">
        <v>370</v>
      </c>
      <c r="BG99" s="68" t="s">
        <v>563</v>
      </c>
      <c r="BH99" s="68" t="s">
        <v>512</v>
      </c>
      <c r="BI99" s="71" t="s">
        <v>373</v>
      </c>
    </row>
    <row r="100" ht="22.5" customHeight="1">
      <c r="A100" s="72" t="s">
        <v>737</v>
      </c>
      <c r="B100" s="69" t="s">
        <v>738</v>
      </c>
      <c r="C100" s="62" t="s">
        <v>50</v>
      </c>
      <c r="D100" s="62" t="s">
        <v>391</v>
      </c>
      <c r="E100" s="69" t="s">
        <v>739</v>
      </c>
      <c r="F100" s="69" t="s">
        <v>738</v>
      </c>
      <c r="G100" s="40">
        <v>130.0</v>
      </c>
      <c r="H100" s="40">
        <v>159299.53</v>
      </c>
      <c r="I100" s="40">
        <v>5.755</v>
      </c>
      <c r="J100" s="40">
        <v>0.8709</v>
      </c>
      <c r="K100" s="40">
        <v>1.95</v>
      </c>
      <c r="L100" s="40">
        <v>36.0</v>
      </c>
      <c r="M100" s="40">
        <v>0.0</v>
      </c>
      <c r="N100" s="40">
        <v>0.0</v>
      </c>
      <c r="O100" s="40">
        <v>126.62</v>
      </c>
      <c r="P100" s="40">
        <v>131.346</v>
      </c>
      <c r="Q100" s="40">
        <v>68.4323</v>
      </c>
      <c r="R100" s="36">
        <v>2500.0</v>
      </c>
      <c r="S100" s="36">
        <v>150.0</v>
      </c>
      <c r="T100" s="36">
        <v>3000.0</v>
      </c>
      <c r="U100" s="36">
        <v>300.0</v>
      </c>
      <c r="V100" s="40">
        <v>400.0</v>
      </c>
      <c r="W100" s="40">
        <v>19499.0</v>
      </c>
      <c r="X100" s="40">
        <v>0.0</v>
      </c>
      <c r="Y100" s="40">
        <v>19497.0</v>
      </c>
      <c r="Z100" s="40">
        <v>99.9897</v>
      </c>
      <c r="AA100" s="40">
        <v>2.0</v>
      </c>
      <c r="AB100" s="37">
        <f t="shared" si="3"/>
        <v>0.0001025693625</v>
      </c>
      <c r="AC100" s="40">
        <v>0.0</v>
      </c>
      <c r="AD100" s="37">
        <f t="shared" si="4"/>
        <v>0</v>
      </c>
      <c r="AE100" s="40">
        <v>0.0</v>
      </c>
      <c r="AF100" s="40">
        <v>0.0</v>
      </c>
      <c r="AG100" s="40">
        <v>172.1502641161085</v>
      </c>
      <c r="AH100" s="40">
        <v>251.0</v>
      </c>
      <c r="AI100" s="40">
        <v>5213.0</v>
      </c>
      <c r="AJ100" s="40">
        <v>256.9038650192314</v>
      </c>
      <c r="AK100" s="40">
        <v>5288.998225</v>
      </c>
      <c r="AL100" s="41">
        <v>9.0</v>
      </c>
      <c r="AM100" s="40">
        <v>153.0</v>
      </c>
      <c r="AN100" s="40">
        <v>25.5</v>
      </c>
      <c r="AO100" s="40">
        <v>1.8751</v>
      </c>
      <c r="AP100" s="40">
        <v>1875.1</v>
      </c>
      <c r="AQ100" s="40">
        <v>897.332</v>
      </c>
      <c r="AR100" s="40">
        <v>55.3</v>
      </c>
      <c r="AS100" s="40">
        <v>27.3</v>
      </c>
      <c r="AT100" s="40">
        <v>2344.0</v>
      </c>
      <c r="AU100" s="40">
        <v>1122.0</v>
      </c>
      <c r="AV100" s="40">
        <v>1219.0</v>
      </c>
      <c r="AW100" s="40">
        <v>583.0</v>
      </c>
      <c r="AX100" s="64"/>
      <c r="AY100" s="66" t="s">
        <v>740</v>
      </c>
      <c r="AZ100" s="64"/>
      <c r="BA100" s="64"/>
      <c r="BB100" s="64"/>
      <c r="BC100" s="40">
        <v>10.0</v>
      </c>
      <c r="BD100" s="40">
        <v>10.0</v>
      </c>
      <c r="BE100" s="40">
        <v>10000.0</v>
      </c>
      <c r="BF100" s="69" t="s">
        <v>370</v>
      </c>
      <c r="BG100" s="69" t="s">
        <v>563</v>
      </c>
      <c r="BH100" s="69" t="s">
        <v>512</v>
      </c>
      <c r="BI100" s="70" t="s">
        <v>373</v>
      </c>
    </row>
    <row r="101" ht="22.5" customHeight="1">
      <c r="A101" s="73" t="s">
        <v>741</v>
      </c>
      <c r="B101" s="68" t="s">
        <v>742</v>
      </c>
      <c r="C101" s="58" t="s">
        <v>50</v>
      </c>
      <c r="D101" s="58" t="s">
        <v>398</v>
      </c>
      <c r="E101" s="68" t="s">
        <v>743</v>
      </c>
      <c r="F101" s="68" t="s">
        <v>742</v>
      </c>
      <c r="G101" s="52">
        <v>100.0</v>
      </c>
      <c r="H101" s="52">
        <v>483671.7589</v>
      </c>
      <c r="I101" s="52">
        <v>3.4925</v>
      </c>
      <c r="J101" s="52">
        <v>1.0668</v>
      </c>
      <c r="K101" s="52">
        <v>1.95</v>
      </c>
      <c r="L101" s="52">
        <v>39.4062</v>
      </c>
      <c r="M101" s="52">
        <v>0.0</v>
      </c>
      <c r="N101" s="52">
        <v>0.0</v>
      </c>
      <c r="O101" s="52">
        <v>124.76</v>
      </c>
      <c r="P101" s="52">
        <v>131.346</v>
      </c>
      <c r="Q101" s="52">
        <v>68.4323</v>
      </c>
      <c r="R101" s="49">
        <v>2500.0</v>
      </c>
      <c r="S101" s="49">
        <v>150.0</v>
      </c>
      <c r="T101" s="49">
        <v>3000.0</v>
      </c>
      <c r="U101" s="49">
        <v>300.0</v>
      </c>
      <c r="V101" s="52">
        <v>400.0</v>
      </c>
      <c r="W101" s="52">
        <v>59999.0</v>
      </c>
      <c r="X101" s="52">
        <v>0.0</v>
      </c>
      <c r="Y101" s="52">
        <v>59999.0</v>
      </c>
      <c r="Z101" s="52">
        <v>100.0</v>
      </c>
      <c r="AA101" s="52">
        <v>0.0</v>
      </c>
      <c r="AB101" s="51">
        <f t="shared" si="3"/>
        <v>0</v>
      </c>
      <c r="AC101" s="52">
        <v>0.0</v>
      </c>
      <c r="AD101" s="51">
        <f t="shared" si="4"/>
        <v>0</v>
      </c>
      <c r="AE101" s="52">
        <v>0.0</v>
      </c>
      <c r="AF101" s="52">
        <v>0.0</v>
      </c>
      <c r="AG101" s="52">
        <v>159.9118318638644</v>
      </c>
      <c r="AH101" s="52">
        <v>201.0</v>
      </c>
      <c r="AI101" s="52">
        <v>5380.0</v>
      </c>
      <c r="AJ101" s="52">
        <v>220.2147632207204</v>
      </c>
      <c r="AK101" s="52">
        <v>5426.251208</v>
      </c>
      <c r="AL101" s="53">
        <v>9.0</v>
      </c>
      <c r="AM101" s="52">
        <v>115.0</v>
      </c>
      <c r="AN101" s="52">
        <v>12.78</v>
      </c>
      <c r="AO101" s="52">
        <v>1.8751</v>
      </c>
      <c r="AP101" s="52">
        <v>1875.1</v>
      </c>
      <c r="AQ101" s="52">
        <v>897.332</v>
      </c>
      <c r="AR101" s="52">
        <v>56.8</v>
      </c>
      <c r="AS101" s="52">
        <v>27.8</v>
      </c>
      <c r="AT101" s="52">
        <v>2344.0</v>
      </c>
      <c r="AU101" s="52">
        <v>1122.0</v>
      </c>
      <c r="AV101" s="52">
        <v>1219.0</v>
      </c>
      <c r="AW101" s="52">
        <v>583.0</v>
      </c>
      <c r="AX101" s="59"/>
      <c r="AY101" s="60" t="s">
        <v>744</v>
      </c>
      <c r="AZ101" s="59"/>
      <c r="BA101" s="59"/>
      <c r="BB101" s="59"/>
      <c r="BC101" s="52">
        <v>10.0</v>
      </c>
      <c r="BD101" s="52">
        <v>10.0</v>
      </c>
      <c r="BE101" s="52">
        <v>10000.0</v>
      </c>
      <c r="BF101" s="68" t="s">
        <v>370</v>
      </c>
      <c r="BG101" s="68" t="s">
        <v>563</v>
      </c>
      <c r="BH101" s="68" t="s">
        <v>512</v>
      </c>
      <c r="BI101" s="71" t="s">
        <v>373</v>
      </c>
    </row>
    <row r="102" ht="22.5" customHeight="1">
      <c r="A102" s="72" t="s">
        <v>745</v>
      </c>
      <c r="B102" s="69" t="s">
        <v>746</v>
      </c>
      <c r="C102" s="62" t="s">
        <v>50</v>
      </c>
      <c r="D102" s="62" t="s">
        <v>404</v>
      </c>
      <c r="E102" s="69" t="s">
        <v>747</v>
      </c>
      <c r="F102" s="69" t="s">
        <v>746</v>
      </c>
      <c r="G102" s="40">
        <v>160.0</v>
      </c>
      <c r="H102" s="40">
        <v>215265.6</v>
      </c>
      <c r="I102" s="40">
        <v>9.3023</v>
      </c>
      <c r="J102" s="40">
        <v>2.517</v>
      </c>
      <c r="K102" s="40">
        <v>1.6708</v>
      </c>
      <c r="L102" s="40">
        <v>16.6133</v>
      </c>
      <c r="M102" s="40">
        <v>0.0</v>
      </c>
      <c r="N102" s="40">
        <v>0.0</v>
      </c>
      <c r="O102" s="40">
        <v>118.5495</v>
      </c>
      <c r="P102" s="40">
        <v>125.1549</v>
      </c>
      <c r="Q102" s="40">
        <v>65.5014</v>
      </c>
      <c r="R102" s="36">
        <v>2500.0</v>
      </c>
      <c r="S102" s="36">
        <v>150.0</v>
      </c>
      <c r="T102" s="36">
        <v>3000.0</v>
      </c>
      <c r="U102" s="36">
        <v>300.0</v>
      </c>
      <c r="V102" s="40">
        <v>459.0</v>
      </c>
      <c r="W102" s="40">
        <v>26159.0</v>
      </c>
      <c r="X102" s="40">
        <v>0.0</v>
      </c>
      <c r="Y102" s="40">
        <v>26159.0</v>
      </c>
      <c r="Z102" s="40">
        <v>100.0</v>
      </c>
      <c r="AA102" s="40">
        <v>0.0</v>
      </c>
      <c r="AB102" s="37">
        <f t="shared" si="3"/>
        <v>0</v>
      </c>
      <c r="AC102" s="40">
        <v>0.0</v>
      </c>
      <c r="AD102" s="37">
        <f t="shared" si="4"/>
        <v>0</v>
      </c>
      <c r="AE102" s="40">
        <v>0.0</v>
      </c>
      <c r="AF102" s="40">
        <v>0.0</v>
      </c>
      <c r="AG102" s="40">
        <v>549.1795557934172</v>
      </c>
      <c r="AH102" s="40">
        <v>1415.0</v>
      </c>
      <c r="AI102" s="40">
        <v>6083.0</v>
      </c>
      <c r="AJ102" s="40">
        <v>1206.59483854314</v>
      </c>
      <c r="AK102" s="40">
        <v>6654.388367</v>
      </c>
      <c r="AL102" s="41">
        <v>9.0</v>
      </c>
      <c r="AM102" s="40">
        <v>295.0</v>
      </c>
      <c r="AN102" s="40">
        <v>32.78</v>
      </c>
      <c r="AO102" s="40">
        <v>1.8009</v>
      </c>
      <c r="AP102" s="40">
        <v>1800.9</v>
      </c>
      <c r="AQ102" s="40">
        <v>870.6094</v>
      </c>
      <c r="AR102" s="40">
        <v>66.2</v>
      </c>
      <c r="AS102" s="40">
        <v>28.1</v>
      </c>
      <c r="AT102" s="40">
        <v>2251.0</v>
      </c>
      <c r="AU102" s="40">
        <v>1088.0</v>
      </c>
      <c r="AV102" s="40">
        <v>1171.0</v>
      </c>
      <c r="AW102" s="40">
        <v>566.0</v>
      </c>
      <c r="AX102" s="64"/>
      <c r="AY102" s="66" t="s">
        <v>748</v>
      </c>
      <c r="AZ102" s="64"/>
      <c r="BA102" s="64"/>
      <c r="BB102" s="64"/>
      <c r="BC102" s="40">
        <v>10.0</v>
      </c>
      <c r="BD102" s="40">
        <v>10.0</v>
      </c>
      <c r="BE102" s="40">
        <v>10000.0</v>
      </c>
      <c r="BF102" s="69" t="s">
        <v>370</v>
      </c>
      <c r="BG102" s="69" t="s">
        <v>563</v>
      </c>
      <c r="BH102" s="69" t="s">
        <v>512</v>
      </c>
      <c r="BI102" s="70" t="s">
        <v>373</v>
      </c>
    </row>
    <row r="103" ht="22.5" customHeight="1">
      <c r="A103" s="73" t="s">
        <v>749</v>
      </c>
      <c r="B103" s="68" t="s">
        <v>750</v>
      </c>
      <c r="C103" s="58" t="s">
        <v>50</v>
      </c>
      <c r="D103" s="58" t="s">
        <v>383</v>
      </c>
      <c r="E103" s="68" t="s">
        <v>751</v>
      </c>
      <c r="F103" s="68" t="s">
        <v>750</v>
      </c>
      <c r="G103" s="52">
        <v>130.0</v>
      </c>
      <c r="H103" s="52">
        <v>122822.4921</v>
      </c>
      <c r="I103" s="52">
        <v>48.3938</v>
      </c>
      <c r="J103" s="52">
        <v>9.4857</v>
      </c>
      <c r="K103" s="52">
        <v>0.925</v>
      </c>
      <c r="L103" s="52">
        <v>522.7891</v>
      </c>
      <c r="M103" s="52">
        <v>0.0</v>
      </c>
      <c r="N103" s="52">
        <v>0.0</v>
      </c>
      <c r="O103" s="52">
        <v>180.09</v>
      </c>
      <c r="P103" s="52">
        <v>208.728</v>
      </c>
      <c r="Q103" s="52">
        <v>140.8153</v>
      </c>
      <c r="R103" s="49">
        <v>2500.0</v>
      </c>
      <c r="S103" s="49">
        <v>150.0</v>
      </c>
      <c r="T103" s="49">
        <v>3000.0</v>
      </c>
      <c r="U103" s="49">
        <v>300.0</v>
      </c>
      <c r="V103" s="52">
        <v>1142.0</v>
      </c>
      <c r="W103" s="52">
        <v>19026.0</v>
      </c>
      <c r="X103" s="52">
        <v>0.0</v>
      </c>
      <c r="Y103" s="52">
        <v>14047.0</v>
      </c>
      <c r="Z103" s="52">
        <v>73.8305</v>
      </c>
      <c r="AA103" s="52">
        <v>4979.0</v>
      </c>
      <c r="AB103" s="51">
        <f t="shared" si="3"/>
        <v>0.2616945233</v>
      </c>
      <c r="AC103" s="52">
        <v>0.0</v>
      </c>
      <c r="AD103" s="51">
        <f t="shared" si="4"/>
        <v>0</v>
      </c>
      <c r="AE103" s="52">
        <v>0.0</v>
      </c>
      <c r="AF103" s="52">
        <v>0.0</v>
      </c>
      <c r="AG103" s="52">
        <v>4528.833491012299</v>
      </c>
      <c r="AH103" s="52">
        <v>16285.75</v>
      </c>
      <c r="AI103" s="52">
        <v>39102.0</v>
      </c>
      <c r="AJ103" s="52">
        <v>4833.137435929633</v>
      </c>
      <c r="AK103" s="52">
        <v>40379.511625</v>
      </c>
      <c r="AL103" s="53">
        <v>3.0</v>
      </c>
      <c r="AM103" s="52">
        <v>269.0</v>
      </c>
      <c r="AN103" s="52">
        <v>89.67</v>
      </c>
      <c r="AO103" s="52">
        <v>2.5026</v>
      </c>
      <c r="AP103" s="52">
        <v>2502.6</v>
      </c>
      <c r="AQ103" s="52">
        <v>1177.4219</v>
      </c>
      <c r="AR103" s="52">
        <v>55.6</v>
      </c>
      <c r="AS103" s="52">
        <v>59.2</v>
      </c>
      <c r="AT103" s="52">
        <v>3128.0</v>
      </c>
      <c r="AU103" s="52">
        <v>1472.0</v>
      </c>
      <c r="AV103" s="52">
        <v>1627.0</v>
      </c>
      <c r="AW103" s="52">
        <v>765.0</v>
      </c>
      <c r="AX103" s="59"/>
      <c r="AY103" s="60" t="s">
        <v>752</v>
      </c>
      <c r="AZ103" s="59"/>
      <c r="BA103" s="59"/>
      <c r="BB103" s="59"/>
      <c r="BC103" s="52">
        <v>10.0</v>
      </c>
      <c r="BD103" s="52">
        <v>10.0</v>
      </c>
      <c r="BE103" s="52">
        <v>10000.0</v>
      </c>
      <c r="BF103" s="68" t="s">
        <v>370</v>
      </c>
      <c r="BG103" s="68" t="s">
        <v>388</v>
      </c>
      <c r="BH103" s="68" t="s">
        <v>456</v>
      </c>
      <c r="BI103" s="71" t="s">
        <v>373</v>
      </c>
    </row>
    <row r="104" ht="22.5" customHeight="1">
      <c r="A104" s="72" t="s">
        <v>753</v>
      </c>
      <c r="B104" s="69" t="s">
        <v>754</v>
      </c>
      <c r="C104" s="62" t="s">
        <v>50</v>
      </c>
      <c r="D104" s="62" t="s">
        <v>391</v>
      </c>
      <c r="E104" s="69" t="s">
        <v>755</v>
      </c>
      <c r="F104" s="69" t="s">
        <v>754</v>
      </c>
      <c r="G104" s="40">
        <v>130.0</v>
      </c>
      <c r="H104" s="40">
        <v>102413.0601</v>
      </c>
      <c r="I104" s="40">
        <v>42.7602</v>
      </c>
      <c r="J104" s="40">
        <v>23.959</v>
      </c>
      <c r="K104" s="40">
        <v>0.925</v>
      </c>
      <c r="L104" s="40">
        <v>459.3242</v>
      </c>
      <c r="M104" s="40">
        <v>0.0</v>
      </c>
      <c r="N104" s="40">
        <v>0.0</v>
      </c>
      <c r="O104" s="40">
        <v>188.32</v>
      </c>
      <c r="P104" s="40">
        <v>211.098</v>
      </c>
      <c r="Q104" s="40">
        <v>141.4214</v>
      </c>
      <c r="R104" s="36">
        <v>2500.0</v>
      </c>
      <c r="S104" s="36">
        <v>150.0</v>
      </c>
      <c r="T104" s="36">
        <v>3000.0</v>
      </c>
      <c r="U104" s="36">
        <v>300.0</v>
      </c>
      <c r="V104" s="40">
        <v>1482.0</v>
      </c>
      <c r="W104" s="40">
        <v>17575.0</v>
      </c>
      <c r="X104" s="40">
        <v>0.0</v>
      </c>
      <c r="Y104" s="40">
        <v>13573.0</v>
      </c>
      <c r="Z104" s="40">
        <v>77.229</v>
      </c>
      <c r="AA104" s="40">
        <v>4003.0</v>
      </c>
      <c r="AB104" s="37">
        <f t="shared" si="3"/>
        <v>0.2277667141</v>
      </c>
      <c r="AC104" s="40">
        <v>181.0</v>
      </c>
      <c r="AD104" s="37">
        <f t="shared" si="4"/>
        <v>0.01029871977</v>
      </c>
      <c r="AE104" s="40">
        <v>0.0</v>
      </c>
      <c r="AF104" s="40">
        <v>0.0</v>
      </c>
      <c r="AG104" s="40">
        <v>4205.3157715066</v>
      </c>
      <c r="AH104" s="40">
        <v>17187.5</v>
      </c>
      <c r="AI104" s="40">
        <v>60164.0</v>
      </c>
      <c r="AJ104" s="40">
        <v>4471.735659412921</v>
      </c>
      <c r="AK104" s="40">
        <v>62050.359194</v>
      </c>
      <c r="AL104" s="41">
        <v>3.0</v>
      </c>
      <c r="AM104" s="40">
        <v>216.0</v>
      </c>
      <c r="AN104" s="40">
        <v>72.0</v>
      </c>
      <c r="AO104" s="40">
        <v>2.5026</v>
      </c>
      <c r="AP104" s="40">
        <v>2502.6</v>
      </c>
      <c r="AQ104" s="40">
        <v>1177.4219</v>
      </c>
      <c r="AR104" s="40">
        <v>50.5</v>
      </c>
      <c r="AS104" s="40">
        <v>60.6</v>
      </c>
      <c r="AT104" s="40">
        <v>3128.0</v>
      </c>
      <c r="AU104" s="40">
        <v>1472.0</v>
      </c>
      <c r="AV104" s="40">
        <v>1627.0</v>
      </c>
      <c r="AW104" s="40">
        <v>765.0</v>
      </c>
      <c r="AX104" s="62" t="s">
        <v>756</v>
      </c>
      <c r="AY104" s="66" t="s">
        <v>757</v>
      </c>
      <c r="AZ104" s="64"/>
      <c r="BA104" s="64"/>
      <c r="BB104" s="64"/>
      <c r="BC104" s="40">
        <v>10.0</v>
      </c>
      <c r="BD104" s="40">
        <v>10.0</v>
      </c>
      <c r="BE104" s="40">
        <v>10000.0</v>
      </c>
      <c r="BF104" s="69" t="s">
        <v>370</v>
      </c>
      <c r="BG104" s="69" t="s">
        <v>388</v>
      </c>
      <c r="BH104" s="69" t="s">
        <v>456</v>
      </c>
      <c r="BI104" s="70" t="s">
        <v>373</v>
      </c>
    </row>
    <row r="105" ht="22.5" customHeight="1">
      <c r="A105" s="73" t="s">
        <v>758</v>
      </c>
      <c r="B105" s="68" t="s">
        <v>759</v>
      </c>
      <c r="C105" s="58" t="s">
        <v>50</v>
      </c>
      <c r="D105" s="58" t="s">
        <v>398</v>
      </c>
      <c r="E105" s="68" t="s">
        <v>760</v>
      </c>
      <c r="F105" s="68" t="s">
        <v>759</v>
      </c>
      <c r="G105" s="52">
        <v>100.0</v>
      </c>
      <c r="H105" s="52">
        <v>393686.9946</v>
      </c>
      <c r="I105" s="52">
        <v>39.4614</v>
      </c>
      <c r="J105" s="52">
        <v>19.8133</v>
      </c>
      <c r="K105" s="52">
        <v>0.9206</v>
      </c>
      <c r="L105" s="52">
        <v>594.4414</v>
      </c>
      <c r="M105" s="52">
        <v>0.0</v>
      </c>
      <c r="N105" s="52">
        <v>0.0</v>
      </c>
      <c r="O105" s="52">
        <v>225.0</v>
      </c>
      <c r="P105" s="52">
        <v>227.07</v>
      </c>
      <c r="Q105" s="52">
        <v>141.4214</v>
      </c>
      <c r="R105" s="49">
        <v>2500.0</v>
      </c>
      <c r="S105" s="49">
        <v>150.0</v>
      </c>
      <c r="T105" s="49">
        <v>3000.0</v>
      </c>
      <c r="U105" s="49">
        <v>300.0</v>
      </c>
      <c r="V105" s="52">
        <v>987.0</v>
      </c>
      <c r="W105" s="52">
        <v>59330.0</v>
      </c>
      <c r="X105" s="52">
        <v>0.0</v>
      </c>
      <c r="Y105" s="52">
        <v>54974.0</v>
      </c>
      <c r="Z105" s="52">
        <v>92.658</v>
      </c>
      <c r="AA105" s="52">
        <v>4356.0</v>
      </c>
      <c r="AB105" s="51">
        <f t="shared" si="3"/>
        <v>0.07341985505</v>
      </c>
      <c r="AC105" s="52">
        <v>131.0</v>
      </c>
      <c r="AD105" s="51">
        <f t="shared" si="4"/>
        <v>0.002207989213</v>
      </c>
      <c r="AE105" s="52">
        <v>0.0</v>
      </c>
      <c r="AF105" s="52">
        <v>0.0</v>
      </c>
      <c r="AG105" s="52">
        <v>2071.208713972695</v>
      </c>
      <c r="AH105" s="52">
        <v>9591.0</v>
      </c>
      <c r="AI105" s="52">
        <v>60356.0</v>
      </c>
      <c r="AJ105" s="52">
        <v>2167.329328058408</v>
      </c>
      <c r="AK105" s="52">
        <v>62441.617447</v>
      </c>
      <c r="AL105" s="53">
        <v>3.0</v>
      </c>
      <c r="AM105" s="52">
        <v>201.0</v>
      </c>
      <c r="AN105" s="52">
        <v>67.0</v>
      </c>
      <c r="AO105" s="52">
        <v>2.5026</v>
      </c>
      <c r="AP105" s="52">
        <v>2502.6</v>
      </c>
      <c r="AQ105" s="52">
        <v>1245.6562</v>
      </c>
      <c r="AR105" s="52">
        <v>51.4</v>
      </c>
      <c r="AS105" s="52">
        <v>65.1</v>
      </c>
      <c r="AT105" s="52">
        <v>3128.0</v>
      </c>
      <c r="AU105" s="52">
        <v>1557.0</v>
      </c>
      <c r="AV105" s="52">
        <v>1627.0</v>
      </c>
      <c r="AW105" s="52">
        <v>810.0</v>
      </c>
      <c r="AX105" s="59"/>
      <c r="AY105" s="60" t="s">
        <v>761</v>
      </c>
      <c r="AZ105" s="59"/>
      <c r="BA105" s="59"/>
      <c r="BB105" s="59"/>
      <c r="BC105" s="52">
        <v>10.0</v>
      </c>
      <c r="BD105" s="52">
        <v>10.0</v>
      </c>
      <c r="BE105" s="52">
        <v>10000.0</v>
      </c>
      <c r="BF105" s="68" t="s">
        <v>370</v>
      </c>
      <c r="BG105" s="68" t="s">
        <v>388</v>
      </c>
      <c r="BH105" s="68" t="s">
        <v>456</v>
      </c>
      <c r="BI105" s="71" t="s">
        <v>373</v>
      </c>
    </row>
    <row r="106" ht="22.5" customHeight="1">
      <c r="A106" s="72" t="s">
        <v>762</v>
      </c>
      <c r="B106" s="69" t="s">
        <v>763</v>
      </c>
      <c r="C106" s="62" t="s">
        <v>50</v>
      </c>
      <c r="D106" s="62" t="s">
        <v>404</v>
      </c>
      <c r="E106" s="69" t="s">
        <v>764</v>
      </c>
      <c r="F106" s="69" t="s">
        <v>763</v>
      </c>
      <c r="G106" s="40">
        <v>160.0</v>
      </c>
      <c r="H106" s="40">
        <v>109276.6</v>
      </c>
      <c r="I106" s="40">
        <v>69.2521</v>
      </c>
      <c r="J106" s="40">
        <v>49.1831</v>
      </c>
      <c r="K106" s="40">
        <v>0.86</v>
      </c>
      <c r="L106" s="40">
        <v>457.5547</v>
      </c>
      <c r="M106" s="40">
        <v>0.0</v>
      </c>
      <c r="N106" s="40">
        <v>0.0</v>
      </c>
      <c r="O106" s="40">
        <v>224.825</v>
      </c>
      <c r="P106" s="40">
        <v>226.3505</v>
      </c>
      <c r="Q106" s="40">
        <v>141.4214</v>
      </c>
      <c r="R106" s="36">
        <v>2500.0</v>
      </c>
      <c r="S106" s="36">
        <v>150.0</v>
      </c>
      <c r="T106" s="36">
        <v>3000.0</v>
      </c>
      <c r="U106" s="36">
        <v>300.0</v>
      </c>
      <c r="V106" s="40">
        <v>1500.0</v>
      </c>
      <c r="W106" s="40">
        <v>21616.0</v>
      </c>
      <c r="X106" s="40">
        <v>0.0</v>
      </c>
      <c r="Y106" s="40">
        <v>8559.0</v>
      </c>
      <c r="Z106" s="40">
        <v>39.5957</v>
      </c>
      <c r="AA106" s="40">
        <v>13057.0</v>
      </c>
      <c r="AB106" s="37">
        <f t="shared" si="3"/>
        <v>0.6040433013</v>
      </c>
      <c r="AC106" s="40">
        <v>505.0</v>
      </c>
      <c r="AD106" s="37">
        <f t="shared" si="4"/>
        <v>0.0233623242</v>
      </c>
      <c r="AE106" s="40">
        <v>0.0</v>
      </c>
      <c r="AF106" s="40">
        <v>0.0</v>
      </c>
      <c r="AG106" s="40">
        <v>9141.639526276833</v>
      </c>
      <c r="AH106" s="40">
        <v>22123.5</v>
      </c>
      <c r="AI106" s="40">
        <v>61269.0</v>
      </c>
      <c r="AJ106" s="40">
        <v>11572.03821875972</v>
      </c>
      <c r="AK106" s="40">
        <v>74016.320907</v>
      </c>
      <c r="AL106" s="41">
        <v>3.0</v>
      </c>
      <c r="AM106" s="40">
        <v>578.0</v>
      </c>
      <c r="AN106" s="40">
        <v>192.67</v>
      </c>
      <c r="AO106" s="40">
        <v>2.5011</v>
      </c>
      <c r="AP106" s="40">
        <v>2501.1</v>
      </c>
      <c r="AQ106" s="40">
        <v>1245.6562</v>
      </c>
      <c r="AR106" s="40">
        <v>49.1</v>
      </c>
      <c r="AS106" s="40">
        <v>66.6</v>
      </c>
      <c r="AT106" s="40">
        <v>3126.0</v>
      </c>
      <c r="AU106" s="40">
        <v>1557.0</v>
      </c>
      <c r="AV106" s="40">
        <v>1626.0</v>
      </c>
      <c r="AW106" s="40">
        <v>810.0</v>
      </c>
      <c r="AX106" s="64"/>
      <c r="AY106" s="66" t="s">
        <v>765</v>
      </c>
      <c r="AZ106" s="64"/>
      <c r="BA106" s="64"/>
      <c r="BB106" s="64"/>
      <c r="BC106" s="40">
        <v>10.0</v>
      </c>
      <c r="BD106" s="40">
        <v>10.0</v>
      </c>
      <c r="BE106" s="40">
        <v>10000.0</v>
      </c>
      <c r="BF106" s="69" t="s">
        <v>370</v>
      </c>
      <c r="BG106" s="69" t="s">
        <v>388</v>
      </c>
      <c r="BH106" s="69" t="s">
        <v>456</v>
      </c>
      <c r="BI106" s="70" t="s">
        <v>373</v>
      </c>
    </row>
    <row r="107" ht="22.5" customHeight="1">
      <c r="A107" s="73" t="s">
        <v>766</v>
      </c>
      <c r="B107" s="68" t="s">
        <v>767</v>
      </c>
      <c r="C107" s="58" t="s">
        <v>50</v>
      </c>
      <c r="D107" s="58" t="s">
        <v>383</v>
      </c>
      <c r="E107" s="68" t="s">
        <v>768</v>
      </c>
      <c r="F107" s="68" t="s">
        <v>767</v>
      </c>
      <c r="G107" s="52">
        <v>130.0</v>
      </c>
      <c r="H107" s="52">
        <v>166283.2091</v>
      </c>
      <c r="I107" s="52">
        <v>20.5448</v>
      </c>
      <c r="J107" s="52">
        <v>4.7836</v>
      </c>
      <c r="K107" s="52">
        <v>0.655</v>
      </c>
      <c r="L107" s="52">
        <v>91.9844</v>
      </c>
      <c r="M107" s="52">
        <v>0.0</v>
      </c>
      <c r="N107" s="52">
        <v>0.0</v>
      </c>
      <c r="O107" s="52">
        <v>154.41</v>
      </c>
      <c r="P107" s="52">
        <v>164.79</v>
      </c>
      <c r="Q107" s="52">
        <v>24.7395</v>
      </c>
      <c r="R107" s="49">
        <v>2500.0</v>
      </c>
      <c r="S107" s="49">
        <v>150.0</v>
      </c>
      <c r="T107" s="49">
        <v>3000.0</v>
      </c>
      <c r="U107" s="49">
        <v>300.0</v>
      </c>
      <c r="V107" s="52">
        <v>400.0</v>
      </c>
      <c r="W107" s="52">
        <v>20399.0</v>
      </c>
      <c r="X107" s="52">
        <v>0.0</v>
      </c>
      <c r="Y107" s="52">
        <v>20399.0</v>
      </c>
      <c r="Z107" s="52">
        <v>100.0</v>
      </c>
      <c r="AA107" s="52">
        <v>0.0</v>
      </c>
      <c r="AB107" s="51">
        <f t="shared" si="3"/>
        <v>0</v>
      </c>
      <c r="AC107" s="52">
        <v>0.0</v>
      </c>
      <c r="AD107" s="51">
        <f t="shared" si="4"/>
        <v>0</v>
      </c>
      <c r="AE107" s="52">
        <v>0.0</v>
      </c>
      <c r="AF107" s="52">
        <v>0.0</v>
      </c>
      <c r="AG107" s="52">
        <v>220.2648659248002</v>
      </c>
      <c r="AH107" s="52">
        <v>457.0</v>
      </c>
      <c r="AI107" s="52">
        <v>5429.0</v>
      </c>
      <c r="AJ107" s="52">
        <v>342.7944151873621</v>
      </c>
      <c r="AK107" s="52">
        <v>5564.384873</v>
      </c>
      <c r="AL107" s="53">
        <v>6.0</v>
      </c>
      <c r="AM107" s="52">
        <v>156.0</v>
      </c>
      <c r="AN107" s="52">
        <v>26.0</v>
      </c>
      <c r="AO107" s="52">
        <v>2.353</v>
      </c>
      <c r="AP107" s="52">
        <v>2353.0</v>
      </c>
      <c r="AQ107" s="52">
        <v>839.9883</v>
      </c>
      <c r="AR107" s="52">
        <v>50.4</v>
      </c>
      <c r="AS107" s="52">
        <v>65.9</v>
      </c>
      <c r="AT107" s="52">
        <v>2941.0</v>
      </c>
      <c r="AU107" s="52">
        <v>1050.0</v>
      </c>
      <c r="AV107" s="52">
        <v>1529.0</v>
      </c>
      <c r="AW107" s="52">
        <v>546.0</v>
      </c>
      <c r="AX107" s="59"/>
      <c r="AY107" s="60" t="s">
        <v>769</v>
      </c>
      <c r="AZ107" s="59"/>
      <c r="BA107" s="59"/>
      <c r="BB107" s="59"/>
      <c r="BC107" s="52">
        <v>10.0</v>
      </c>
      <c r="BD107" s="52">
        <v>10.0</v>
      </c>
      <c r="BE107" s="52">
        <v>10000.0</v>
      </c>
      <c r="BF107" s="68" t="s">
        <v>370</v>
      </c>
      <c r="BG107" s="68" t="s">
        <v>388</v>
      </c>
      <c r="BH107" s="68" t="s">
        <v>456</v>
      </c>
      <c r="BI107" s="71" t="s">
        <v>373</v>
      </c>
    </row>
    <row r="108" ht="22.5" customHeight="1">
      <c r="A108" s="72" t="s">
        <v>770</v>
      </c>
      <c r="B108" s="69" t="s">
        <v>771</v>
      </c>
      <c r="C108" s="62" t="s">
        <v>50</v>
      </c>
      <c r="D108" s="62" t="s">
        <v>391</v>
      </c>
      <c r="E108" s="69" t="s">
        <v>772</v>
      </c>
      <c r="F108" s="69" t="s">
        <v>771</v>
      </c>
      <c r="G108" s="40">
        <v>130.0</v>
      </c>
      <c r="H108" s="40">
        <v>159298.5303</v>
      </c>
      <c r="I108" s="40">
        <v>20.6767</v>
      </c>
      <c r="J108" s="40">
        <v>8.3405</v>
      </c>
      <c r="K108" s="40">
        <v>1.0931</v>
      </c>
      <c r="L108" s="40">
        <v>82.1953</v>
      </c>
      <c r="M108" s="40">
        <v>0.0</v>
      </c>
      <c r="N108" s="40">
        <v>0.0</v>
      </c>
      <c r="O108" s="40">
        <v>154.41</v>
      </c>
      <c r="P108" s="40">
        <v>164.79</v>
      </c>
      <c r="Q108" s="40">
        <v>24.7395</v>
      </c>
      <c r="R108" s="36">
        <v>2500.0</v>
      </c>
      <c r="S108" s="36">
        <v>150.0</v>
      </c>
      <c r="T108" s="36">
        <v>3000.0</v>
      </c>
      <c r="U108" s="36">
        <v>300.0</v>
      </c>
      <c r="V108" s="40">
        <v>400.0</v>
      </c>
      <c r="W108" s="40">
        <v>19499.0</v>
      </c>
      <c r="X108" s="40">
        <v>0.0</v>
      </c>
      <c r="Y108" s="40">
        <v>19499.0</v>
      </c>
      <c r="Z108" s="40">
        <v>100.0</v>
      </c>
      <c r="AA108" s="40">
        <v>0.0</v>
      </c>
      <c r="AB108" s="37">
        <f t="shared" si="3"/>
        <v>0</v>
      </c>
      <c r="AC108" s="40">
        <v>0.0</v>
      </c>
      <c r="AD108" s="37">
        <f t="shared" si="4"/>
        <v>0</v>
      </c>
      <c r="AE108" s="40">
        <v>0.0</v>
      </c>
      <c r="AF108" s="40">
        <v>0.0</v>
      </c>
      <c r="AG108" s="40">
        <v>220.2828350171804</v>
      </c>
      <c r="AH108" s="40">
        <v>412.0</v>
      </c>
      <c r="AI108" s="40">
        <v>5400.0</v>
      </c>
      <c r="AJ108" s="40">
        <v>323.7545078926086</v>
      </c>
      <c r="AK108" s="40">
        <v>5506.195441</v>
      </c>
      <c r="AL108" s="41">
        <v>6.0</v>
      </c>
      <c r="AM108" s="40">
        <v>144.0</v>
      </c>
      <c r="AN108" s="40">
        <v>24.0</v>
      </c>
      <c r="AO108" s="40">
        <v>2.3399</v>
      </c>
      <c r="AP108" s="40">
        <v>2339.9</v>
      </c>
      <c r="AQ108" s="40">
        <v>842.4219</v>
      </c>
      <c r="AR108" s="40">
        <v>46.3</v>
      </c>
      <c r="AS108" s="40">
        <v>66.3</v>
      </c>
      <c r="AT108" s="40">
        <v>2925.0</v>
      </c>
      <c r="AU108" s="40">
        <v>1053.0</v>
      </c>
      <c r="AV108" s="40">
        <v>1521.0</v>
      </c>
      <c r="AW108" s="40">
        <v>548.0</v>
      </c>
      <c r="AX108" s="64"/>
      <c r="AY108" s="66" t="s">
        <v>773</v>
      </c>
      <c r="AZ108" s="64"/>
      <c r="BA108" s="64"/>
      <c r="BB108" s="64"/>
      <c r="BC108" s="40">
        <v>10.0</v>
      </c>
      <c r="BD108" s="40">
        <v>10.0</v>
      </c>
      <c r="BE108" s="40">
        <v>10000.0</v>
      </c>
      <c r="BF108" s="69" t="s">
        <v>370</v>
      </c>
      <c r="BG108" s="69" t="s">
        <v>388</v>
      </c>
      <c r="BH108" s="69" t="s">
        <v>456</v>
      </c>
      <c r="BI108" s="70" t="s">
        <v>373</v>
      </c>
    </row>
    <row r="109" ht="22.5" customHeight="1">
      <c r="A109" s="73" t="s">
        <v>774</v>
      </c>
      <c r="B109" s="68" t="s">
        <v>775</v>
      </c>
      <c r="C109" s="58" t="s">
        <v>50</v>
      </c>
      <c r="D109" s="58" t="s">
        <v>398</v>
      </c>
      <c r="E109" s="68" t="s">
        <v>776</v>
      </c>
      <c r="F109" s="68" t="s">
        <v>775</v>
      </c>
      <c r="G109" s="52">
        <v>100.0</v>
      </c>
      <c r="H109" s="52">
        <v>483775.9695</v>
      </c>
      <c r="I109" s="52">
        <v>13.8221</v>
      </c>
      <c r="J109" s="52">
        <v>5.68</v>
      </c>
      <c r="K109" s="52">
        <v>1.1337</v>
      </c>
      <c r="L109" s="52">
        <v>92.9023</v>
      </c>
      <c r="M109" s="52">
        <v>0.0</v>
      </c>
      <c r="N109" s="52">
        <v>0.0</v>
      </c>
      <c r="O109" s="52">
        <v>155.43</v>
      </c>
      <c r="P109" s="52">
        <v>166.24</v>
      </c>
      <c r="Q109" s="52">
        <v>141.4214</v>
      </c>
      <c r="R109" s="49">
        <v>2500.0</v>
      </c>
      <c r="S109" s="49">
        <v>150.0</v>
      </c>
      <c r="T109" s="49">
        <v>3000.0</v>
      </c>
      <c r="U109" s="49">
        <v>300.0</v>
      </c>
      <c r="V109" s="52">
        <v>400.0</v>
      </c>
      <c r="W109" s="52">
        <v>59999.0</v>
      </c>
      <c r="X109" s="52">
        <v>0.0</v>
      </c>
      <c r="Y109" s="52">
        <v>59999.0</v>
      </c>
      <c r="Z109" s="52">
        <v>100.0</v>
      </c>
      <c r="AA109" s="52">
        <v>0.0</v>
      </c>
      <c r="AB109" s="51">
        <f t="shared" si="3"/>
        <v>0</v>
      </c>
      <c r="AC109" s="52">
        <v>0.0</v>
      </c>
      <c r="AD109" s="51">
        <f t="shared" si="4"/>
        <v>0</v>
      </c>
      <c r="AE109" s="52">
        <v>0.0</v>
      </c>
      <c r="AF109" s="52">
        <v>0.0</v>
      </c>
      <c r="AG109" s="52">
        <v>177.0904348405807</v>
      </c>
      <c r="AH109" s="52">
        <v>237.0</v>
      </c>
      <c r="AI109" s="52">
        <v>6134.0</v>
      </c>
      <c r="AJ109" s="52">
        <v>239.1858239074134</v>
      </c>
      <c r="AK109" s="52">
        <v>6191.398918</v>
      </c>
      <c r="AL109" s="53">
        <v>6.0</v>
      </c>
      <c r="AM109" s="52">
        <v>112.0</v>
      </c>
      <c r="AN109" s="52">
        <v>18.67</v>
      </c>
      <c r="AO109" s="52">
        <v>2.353</v>
      </c>
      <c r="AP109" s="52">
        <v>2353.0</v>
      </c>
      <c r="AQ109" s="52">
        <v>864.75</v>
      </c>
      <c r="AR109" s="52">
        <v>46.0</v>
      </c>
      <c r="AS109" s="52">
        <v>67.1</v>
      </c>
      <c r="AT109" s="52">
        <v>2941.0</v>
      </c>
      <c r="AU109" s="52">
        <v>1081.0</v>
      </c>
      <c r="AV109" s="52">
        <v>1529.0</v>
      </c>
      <c r="AW109" s="52">
        <v>562.0</v>
      </c>
      <c r="AX109" s="59"/>
      <c r="AY109" s="60" t="s">
        <v>777</v>
      </c>
      <c r="AZ109" s="59"/>
      <c r="BA109" s="59"/>
      <c r="BB109" s="59"/>
      <c r="BC109" s="52">
        <v>10.0</v>
      </c>
      <c r="BD109" s="52">
        <v>10.0</v>
      </c>
      <c r="BE109" s="52">
        <v>10000.0</v>
      </c>
      <c r="BF109" s="68" t="s">
        <v>370</v>
      </c>
      <c r="BG109" s="68" t="s">
        <v>388</v>
      </c>
      <c r="BH109" s="68" t="s">
        <v>456</v>
      </c>
      <c r="BI109" s="61">
        <v>120.0</v>
      </c>
    </row>
    <row r="110" ht="22.5" customHeight="1">
      <c r="A110" s="72" t="s">
        <v>778</v>
      </c>
      <c r="B110" s="69" t="s">
        <v>779</v>
      </c>
      <c r="C110" s="62" t="s">
        <v>50</v>
      </c>
      <c r="D110" s="62" t="s">
        <v>404</v>
      </c>
      <c r="E110" s="69" t="s">
        <v>780</v>
      </c>
      <c r="F110" s="69" t="s">
        <v>779</v>
      </c>
      <c r="G110" s="40">
        <v>160.0</v>
      </c>
      <c r="H110" s="40">
        <v>206235.7714</v>
      </c>
      <c r="I110" s="40">
        <v>45.3435</v>
      </c>
      <c r="J110" s="40">
        <v>19.1604</v>
      </c>
      <c r="K110" s="40">
        <v>0.8269</v>
      </c>
      <c r="L110" s="40">
        <v>50.8906</v>
      </c>
      <c r="M110" s="40">
        <v>0.0</v>
      </c>
      <c r="N110" s="40">
        <v>0.0</v>
      </c>
      <c r="O110" s="40">
        <v>164.75</v>
      </c>
      <c r="P110" s="40">
        <v>173.07</v>
      </c>
      <c r="Q110" s="40">
        <v>111.8034</v>
      </c>
      <c r="R110" s="36">
        <v>2500.0</v>
      </c>
      <c r="S110" s="36">
        <v>150.0</v>
      </c>
      <c r="T110" s="36">
        <v>3000.0</v>
      </c>
      <c r="U110" s="36">
        <v>300.0</v>
      </c>
      <c r="V110" s="40">
        <v>449.0</v>
      </c>
      <c r="W110" s="40">
        <v>25052.0</v>
      </c>
      <c r="X110" s="40">
        <v>0.0</v>
      </c>
      <c r="Y110" s="40">
        <v>25052.0</v>
      </c>
      <c r="Z110" s="40">
        <v>100.0</v>
      </c>
      <c r="AA110" s="40">
        <v>0.0</v>
      </c>
      <c r="AB110" s="37">
        <f t="shared" si="3"/>
        <v>0</v>
      </c>
      <c r="AC110" s="40">
        <v>0.0</v>
      </c>
      <c r="AD110" s="37">
        <f t="shared" si="4"/>
        <v>0</v>
      </c>
      <c r="AE110" s="40">
        <v>0.0</v>
      </c>
      <c r="AF110" s="40">
        <v>0.0</v>
      </c>
      <c r="AG110" s="40">
        <v>709.2097636915216</v>
      </c>
      <c r="AH110" s="40">
        <v>1558.449999999997</v>
      </c>
      <c r="AI110" s="40">
        <v>7097.0</v>
      </c>
      <c r="AJ110" s="40">
        <v>1582.903642856224</v>
      </c>
      <c r="AK110" s="40">
        <v>9224.401138</v>
      </c>
      <c r="AL110" s="41">
        <v>6.0</v>
      </c>
      <c r="AM110" s="40">
        <v>267.0</v>
      </c>
      <c r="AN110" s="40">
        <v>44.5</v>
      </c>
      <c r="AO110" s="40">
        <v>2.3455</v>
      </c>
      <c r="AP110" s="40">
        <v>2345.5</v>
      </c>
      <c r="AQ110" s="40">
        <v>913.4844</v>
      </c>
      <c r="AR110" s="40">
        <v>52.5</v>
      </c>
      <c r="AS110" s="40">
        <v>68.0</v>
      </c>
      <c r="AT110" s="40">
        <v>2932.0</v>
      </c>
      <c r="AU110" s="40">
        <v>1142.0</v>
      </c>
      <c r="AV110" s="40">
        <v>1525.0</v>
      </c>
      <c r="AW110" s="40">
        <v>594.0</v>
      </c>
      <c r="AX110" s="64"/>
      <c r="AY110" s="66" t="s">
        <v>781</v>
      </c>
      <c r="AZ110" s="64"/>
      <c r="BA110" s="64"/>
      <c r="BB110" s="64"/>
      <c r="BC110" s="40">
        <v>10.0</v>
      </c>
      <c r="BD110" s="40">
        <v>10.0</v>
      </c>
      <c r="BE110" s="40">
        <v>10000.0</v>
      </c>
      <c r="BF110" s="69" t="s">
        <v>370</v>
      </c>
      <c r="BG110" s="69" t="s">
        <v>388</v>
      </c>
      <c r="BH110" s="69" t="s">
        <v>456</v>
      </c>
      <c r="BI110" s="70" t="s">
        <v>373</v>
      </c>
    </row>
    <row r="111" ht="22.5" customHeight="1">
      <c r="A111" s="73" t="s">
        <v>782</v>
      </c>
      <c r="B111" s="68" t="s">
        <v>783</v>
      </c>
      <c r="C111" s="58" t="s">
        <v>50</v>
      </c>
      <c r="D111" s="58" t="s">
        <v>383</v>
      </c>
      <c r="E111" s="68" t="s">
        <v>784</v>
      </c>
      <c r="F111" s="68" t="s">
        <v>783</v>
      </c>
      <c r="G111" s="52">
        <v>130.0</v>
      </c>
      <c r="H111" s="52">
        <v>166165.643</v>
      </c>
      <c r="I111" s="52">
        <v>6.124</v>
      </c>
      <c r="J111" s="52">
        <v>0.9514</v>
      </c>
      <c r="K111" s="52">
        <v>0.7106</v>
      </c>
      <c r="L111" s="52">
        <v>15.707</v>
      </c>
      <c r="M111" s="52">
        <v>0.0</v>
      </c>
      <c r="N111" s="52">
        <v>0.0</v>
      </c>
      <c r="O111" s="52">
        <v>104.4</v>
      </c>
      <c r="P111" s="52">
        <v>105.864</v>
      </c>
      <c r="Q111" s="52">
        <v>282.8427</v>
      </c>
      <c r="R111" s="49">
        <v>2500.0</v>
      </c>
      <c r="S111" s="49">
        <v>150.0</v>
      </c>
      <c r="T111" s="49">
        <v>3000.0</v>
      </c>
      <c r="U111" s="49">
        <v>300.0</v>
      </c>
      <c r="V111" s="52">
        <v>400.0</v>
      </c>
      <c r="W111" s="52">
        <v>20399.0</v>
      </c>
      <c r="X111" s="52">
        <v>0.0</v>
      </c>
      <c r="Y111" s="52">
        <v>20399.0</v>
      </c>
      <c r="Z111" s="52">
        <v>100.0</v>
      </c>
      <c r="AA111" s="52">
        <v>0.0</v>
      </c>
      <c r="AB111" s="51">
        <f t="shared" si="3"/>
        <v>0</v>
      </c>
      <c r="AC111" s="52">
        <v>0.0</v>
      </c>
      <c r="AD111" s="51">
        <f t="shared" si="4"/>
        <v>0</v>
      </c>
      <c r="AE111" s="52">
        <v>0.0</v>
      </c>
      <c r="AF111" s="52">
        <v>0.0</v>
      </c>
      <c r="AG111" s="52">
        <v>185.3027599392127</v>
      </c>
      <c r="AH111" s="52">
        <v>252.0</v>
      </c>
      <c r="AI111" s="52">
        <v>5260.0</v>
      </c>
      <c r="AJ111" s="52">
        <v>273.5938078799462</v>
      </c>
      <c r="AK111" s="52">
        <v>5305.129956</v>
      </c>
      <c r="AL111" s="53">
        <v>9.0</v>
      </c>
      <c r="AM111" s="52">
        <v>148.0</v>
      </c>
      <c r="AN111" s="52">
        <v>16.44</v>
      </c>
      <c r="AO111" s="52">
        <v>1.6437</v>
      </c>
      <c r="AP111" s="52">
        <v>1643.7</v>
      </c>
      <c r="AQ111" s="52">
        <v>905.0703</v>
      </c>
      <c r="AR111" s="52">
        <v>50.5</v>
      </c>
      <c r="AS111" s="52">
        <v>70.8</v>
      </c>
      <c r="AT111" s="52">
        <v>2055.0</v>
      </c>
      <c r="AU111" s="52">
        <v>1131.0</v>
      </c>
      <c r="AV111" s="52">
        <v>1068.0</v>
      </c>
      <c r="AW111" s="52">
        <v>588.0</v>
      </c>
      <c r="AX111" s="59"/>
      <c r="AY111" s="60" t="s">
        <v>785</v>
      </c>
      <c r="AZ111" s="59"/>
      <c r="BA111" s="59"/>
      <c r="BB111" s="59"/>
      <c r="BC111" s="52">
        <v>10.0</v>
      </c>
      <c r="BD111" s="52">
        <v>10.0</v>
      </c>
      <c r="BE111" s="52">
        <v>10000.0</v>
      </c>
      <c r="BF111" s="68" t="s">
        <v>370</v>
      </c>
      <c r="BG111" s="68" t="s">
        <v>388</v>
      </c>
      <c r="BH111" s="68" t="s">
        <v>456</v>
      </c>
      <c r="BI111" s="71" t="s">
        <v>373</v>
      </c>
    </row>
    <row r="112" ht="22.5" customHeight="1">
      <c r="A112" s="72" t="s">
        <v>786</v>
      </c>
      <c r="B112" s="69" t="s">
        <v>787</v>
      </c>
      <c r="C112" s="62" t="s">
        <v>50</v>
      </c>
      <c r="D112" s="62" t="s">
        <v>391</v>
      </c>
      <c r="E112" s="69" t="s">
        <v>788</v>
      </c>
      <c r="F112" s="69" t="s">
        <v>787</v>
      </c>
      <c r="G112" s="40">
        <v>130.0</v>
      </c>
      <c r="H112" s="40">
        <v>159862.9415</v>
      </c>
      <c r="I112" s="40">
        <v>6.3272</v>
      </c>
      <c r="J112" s="40">
        <v>1.9549</v>
      </c>
      <c r="K112" s="40">
        <v>0.7987</v>
      </c>
      <c r="L112" s="40">
        <v>8.3906</v>
      </c>
      <c r="M112" s="40">
        <v>0.0</v>
      </c>
      <c r="N112" s="40">
        <v>0.0</v>
      </c>
      <c r="O112" s="40">
        <v>104.4</v>
      </c>
      <c r="P112" s="40">
        <v>105.864</v>
      </c>
      <c r="Q112" s="40">
        <v>282.8427</v>
      </c>
      <c r="R112" s="36">
        <v>2500.0</v>
      </c>
      <c r="S112" s="36">
        <v>150.0</v>
      </c>
      <c r="T112" s="36">
        <v>3000.0</v>
      </c>
      <c r="U112" s="36">
        <v>300.0</v>
      </c>
      <c r="V112" s="40">
        <v>401.0</v>
      </c>
      <c r="W112" s="40">
        <v>19455.0</v>
      </c>
      <c r="X112" s="40">
        <v>0.0</v>
      </c>
      <c r="Y112" s="40">
        <v>19455.0</v>
      </c>
      <c r="Z112" s="40">
        <v>100.0</v>
      </c>
      <c r="AA112" s="40">
        <v>0.0</v>
      </c>
      <c r="AB112" s="37">
        <f t="shared" si="3"/>
        <v>0</v>
      </c>
      <c r="AC112" s="40">
        <v>0.0</v>
      </c>
      <c r="AD112" s="37">
        <f t="shared" si="4"/>
        <v>0</v>
      </c>
      <c r="AE112" s="40">
        <v>0.0</v>
      </c>
      <c r="AF112" s="40">
        <v>0.0</v>
      </c>
      <c r="AG112" s="40">
        <v>243.6943202261629</v>
      </c>
      <c r="AH112" s="40">
        <v>646.0</v>
      </c>
      <c r="AI112" s="40">
        <v>5493.0</v>
      </c>
      <c r="AJ112" s="40">
        <v>444.527380214855</v>
      </c>
      <c r="AK112" s="40">
        <v>6861.779517</v>
      </c>
      <c r="AL112" s="41">
        <v>9.0</v>
      </c>
      <c r="AM112" s="40">
        <v>164.0</v>
      </c>
      <c r="AN112" s="40">
        <v>18.22</v>
      </c>
      <c r="AO112" s="40">
        <v>1.8782</v>
      </c>
      <c r="AP112" s="40">
        <v>1878.2</v>
      </c>
      <c r="AQ112" s="40">
        <v>891.8594</v>
      </c>
      <c r="AR112" s="40">
        <v>46.7</v>
      </c>
      <c r="AS112" s="40">
        <v>71.3</v>
      </c>
      <c r="AT112" s="40">
        <v>2348.0</v>
      </c>
      <c r="AU112" s="40">
        <v>1115.0</v>
      </c>
      <c r="AV112" s="40">
        <v>1221.0</v>
      </c>
      <c r="AW112" s="40">
        <v>580.0</v>
      </c>
      <c r="AX112" s="64"/>
      <c r="AY112" s="66" t="s">
        <v>789</v>
      </c>
      <c r="AZ112" s="64"/>
      <c r="BA112" s="64"/>
      <c r="BB112" s="64"/>
      <c r="BC112" s="40">
        <v>10.0</v>
      </c>
      <c r="BD112" s="40">
        <v>10.0</v>
      </c>
      <c r="BE112" s="40">
        <v>10000.0</v>
      </c>
      <c r="BF112" s="69" t="s">
        <v>370</v>
      </c>
      <c r="BG112" s="69" t="s">
        <v>388</v>
      </c>
      <c r="BH112" s="69" t="s">
        <v>456</v>
      </c>
      <c r="BI112" s="70" t="s">
        <v>373</v>
      </c>
    </row>
    <row r="113" ht="22.5" customHeight="1">
      <c r="A113" s="73" t="s">
        <v>790</v>
      </c>
      <c r="B113" s="68" t="s">
        <v>791</v>
      </c>
      <c r="C113" s="58" t="s">
        <v>50</v>
      </c>
      <c r="D113" s="58" t="s">
        <v>398</v>
      </c>
      <c r="E113" s="68" t="s">
        <v>792</v>
      </c>
      <c r="F113" s="68" t="s">
        <v>791</v>
      </c>
      <c r="G113" s="52">
        <v>100.0</v>
      </c>
      <c r="H113" s="52">
        <v>483687.2977</v>
      </c>
      <c r="I113" s="52">
        <v>4.1839</v>
      </c>
      <c r="J113" s="52">
        <v>1.3423</v>
      </c>
      <c r="K113" s="52">
        <v>0.8763</v>
      </c>
      <c r="L113" s="52">
        <v>29.9961</v>
      </c>
      <c r="M113" s="52">
        <v>0.0</v>
      </c>
      <c r="N113" s="52">
        <v>0.0</v>
      </c>
      <c r="O113" s="52">
        <v>104.4</v>
      </c>
      <c r="P113" s="52">
        <v>105.864</v>
      </c>
      <c r="Q113" s="52">
        <v>282.8427</v>
      </c>
      <c r="R113" s="49">
        <v>2500.0</v>
      </c>
      <c r="S113" s="49">
        <v>150.0</v>
      </c>
      <c r="T113" s="49">
        <v>3000.0</v>
      </c>
      <c r="U113" s="49">
        <v>300.0</v>
      </c>
      <c r="V113" s="52">
        <v>400.0</v>
      </c>
      <c r="W113" s="52">
        <v>59999.0</v>
      </c>
      <c r="X113" s="52">
        <v>0.0</v>
      </c>
      <c r="Y113" s="52">
        <v>59996.0</v>
      </c>
      <c r="Z113" s="52">
        <v>99.995</v>
      </c>
      <c r="AA113" s="52">
        <v>3.0</v>
      </c>
      <c r="AB113" s="51">
        <f t="shared" si="3"/>
        <v>0.00005000083335</v>
      </c>
      <c r="AC113" s="52">
        <v>0.0</v>
      </c>
      <c r="AD113" s="51">
        <f t="shared" si="4"/>
        <v>0</v>
      </c>
      <c r="AE113" s="52">
        <v>0.0</v>
      </c>
      <c r="AF113" s="52">
        <v>0.0</v>
      </c>
      <c r="AG113" s="52">
        <v>164.8292304871748</v>
      </c>
      <c r="AH113" s="52">
        <v>215.0</v>
      </c>
      <c r="AI113" s="52">
        <v>5232.0</v>
      </c>
      <c r="AJ113" s="52">
        <v>227.5675294949084</v>
      </c>
      <c r="AK113" s="52">
        <v>5273.818813</v>
      </c>
      <c r="AL113" s="53">
        <v>9.0</v>
      </c>
      <c r="AM113" s="52">
        <v>110.0</v>
      </c>
      <c r="AN113" s="52">
        <v>12.22</v>
      </c>
      <c r="AO113" s="52">
        <v>1.8782</v>
      </c>
      <c r="AP113" s="52">
        <v>1878.2</v>
      </c>
      <c r="AQ113" s="52">
        <v>912.6133</v>
      </c>
      <c r="AR113" s="52">
        <v>49.5</v>
      </c>
      <c r="AS113" s="52">
        <v>71.3</v>
      </c>
      <c r="AT113" s="52">
        <v>2348.0</v>
      </c>
      <c r="AU113" s="52">
        <v>1141.0</v>
      </c>
      <c r="AV113" s="52">
        <v>1221.0</v>
      </c>
      <c r="AW113" s="52">
        <v>593.0</v>
      </c>
      <c r="AX113" s="59"/>
      <c r="AY113" s="60" t="s">
        <v>793</v>
      </c>
      <c r="AZ113" s="59"/>
      <c r="BA113" s="59"/>
      <c r="BB113" s="59"/>
      <c r="BC113" s="52">
        <v>10.0</v>
      </c>
      <c r="BD113" s="52">
        <v>10.0</v>
      </c>
      <c r="BE113" s="52">
        <v>10000.0</v>
      </c>
      <c r="BF113" s="68" t="s">
        <v>370</v>
      </c>
      <c r="BG113" s="68" t="s">
        <v>388</v>
      </c>
      <c r="BH113" s="68" t="s">
        <v>456</v>
      </c>
      <c r="BI113" s="71" t="s">
        <v>373</v>
      </c>
    </row>
    <row r="114" ht="22.5" customHeight="1">
      <c r="A114" s="72" t="s">
        <v>794</v>
      </c>
      <c r="B114" s="69" t="s">
        <v>795</v>
      </c>
      <c r="C114" s="62" t="s">
        <v>50</v>
      </c>
      <c r="D114" s="62" t="s">
        <v>404</v>
      </c>
      <c r="E114" s="69" t="s">
        <v>796</v>
      </c>
      <c r="F114" s="69" t="s">
        <v>795</v>
      </c>
      <c r="G114" s="40">
        <v>160.0</v>
      </c>
      <c r="H114" s="40">
        <v>213265.0286</v>
      </c>
      <c r="I114" s="40">
        <v>13.9642</v>
      </c>
      <c r="J114" s="40">
        <v>3.6276</v>
      </c>
      <c r="K114" s="40">
        <v>1.1031</v>
      </c>
      <c r="L114" s="40">
        <v>13.5742</v>
      </c>
      <c r="M114" s="40">
        <v>0.0</v>
      </c>
      <c r="N114" s="40">
        <v>0.0</v>
      </c>
      <c r="O114" s="40">
        <v>115.92</v>
      </c>
      <c r="P114" s="40">
        <v>122.852</v>
      </c>
      <c r="Q114" s="40">
        <v>40.4865</v>
      </c>
      <c r="R114" s="36">
        <v>2500.0</v>
      </c>
      <c r="S114" s="36">
        <v>150.0</v>
      </c>
      <c r="T114" s="36">
        <v>3000.0</v>
      </c>
      <c r="U114" s="36">
        <v>300.0</v>
      </c>
      <c r="V114" s="40">
        <v>441.0</v>
      </c>
      <c r="W114" s="40">
        <v>25916.0</v>
      </c>
      <c r="X114" s="40">
        <v>0.0</v>
      </c>
      <c r="Y114" s="40">
        <v>25916.0</v>
      </c>
      <c r="Z114" s="40">
        <v>100.0</v>
      </c>
      <c r="AA114" s="40">
        <v>0.0</v>
      </c>
      <c r="AB114" s="37">
        <f t="shared" si="3"/>
        <v>0</v>
      </c>
      <c r="AC114" s="40">
        <v>0.0</v>
      </c>
      <c r="AD114" s="37">
        <f t="shared" si="4"/>
        <v>0</v>
      </c>
      <c r="AE114" s="40">
        <v>0.0</v>
      </c>
      <c r="AF114" s="40">
        <v>0.0</v>
      </c>
      <c r="AG114" s="40">
        <v>545.2802515820342</v>
      </c>
      <c r="AH114" s="40">
        <v>1338.0</v>
      </c>
      <c r="AI114" s="40">
        <v>7095.0</v>
      </c>
      <c r="AJ114" s="40">
        <v>1257.159085642232</v>
      </c>
      <c r="AK114" s="40">
        <v>8786.940323</v>
      </c>
      <c r="AL114" s="41">
        <v>9.0</v>
      </c>
      <c r="AM114" s="40">
        <v>267.0</v>
      </c>
      <c r="AN114" s="40">
        <v>29.67</v>
      </c>
      <c r="AO114" s="40">
        <v>1.9435</v>
      </c>
      <c r="AP114" s="40">
        <v>1943.5</v>
      </c>
      <c r="AQ114" s="40">
        <v>896.9922</v>
      </c>
      <c r="AR114" s="40">
        <v>56.0</v>
      </c>
      <c r="AS114" s="40">
        <v>71.8</v>
      </c>
      <c r="AT114" s="40">
        <v>2429.0</v>
      </c>
      <c r="AU114" s="40">
        <v>1121.0</v>
      </c>
      <c r="AV114" s="40">
        <v>1263.0</v>
      </c>
      <c r="AW114" s="40">
        <v>583.0</v>
      </c>
      <c r="AX114" s="64"/>
      <c r="AY114" s="66" t="s">
        <v>797</v>
      </c>
      <c r="AZ114" s="64"/>
      <c r="BA114" s="64"/>
      <c r="BB114" s="64"/>
      <c r="BC114" s="40">
        <v>10.0</v>
      </c>
      <c r="BD114" s="40">
        <v>10.0</v>
      </c>
      <c r="BE114" s="40">
        <v>10000.0</v>
      </c>
      <c r="BF114" s="69" t="s">
        <v>370</v>
      </c>
      <c r="BG114" s="69" t="s">
        <v>388</v>
      </c>
      <c r="BH114" s="69" t="s">
        <v>456</v>
      </c>
      <c r="BI114" s="70" t="s">
        <v>373</v>
      </c>
    </row>
    <row r="115" ht="22.5" customHeight="1">
      <c r="A115" s="73" t="s">
        <v>798</v>
      </c>
      <c r="B115" s="68" t="s">
        <v>799</v>
      </c>
      <c r="C115" s="58" t="s">
        <v>50</v>
      </c>
      <c r="D115" s="58" t="s">
        <v>383</v>
      </c>
      <c r="E115" s="68" t="s">
        <v>800</v>
      </c>
      <c r="F115" s="68" t="s">
        <v>799</v>
      </c>
      <c r="G115" s="52">
        <v>130.0</v>
      </c>
      <c r="H115" s="52">
        <v>119605.9216</v>
      </c>
      <c r="I115" s="52">
        <v>48.3294</v>
      </c>
      <c r="J115" s="52">
        <v>18.5504</v>
      </c>
      <c r="K115" s="52">
        <v>1.4662</v>
      </c>
      <c r="L115" s="52">
        <v>156.7148</v>
      </c>
      <c r="M115" s="52">
        <v>0.0</v>
      </c>
      <c r="N115" s="52">
        <v>0.0</v>
      </c>
      <c r="O115" s="52">
        <v>176.2</v>
      </c>
      <c r="P115" s="52">
        <v>190.84</v>
      </c>
      <c r="Q115" s="52">
        <v>141.4214</v>
      </c>
      <c r="R115" s="49">
        <v>2500.0</v>
      </c>
      <c r="S115" s="49">
        <v>150.0</v>
      </c>
      <c r="T115" s="49">
        <v>3000.0</v>
      </c>
      <c r="U115" s="49">
        <v>300.0</v>
      </c>
      <c r="V115" s="52">
        <v>1201.0</v>
      </c>
      <c r="W115" s="52">
        <v>18784.0</v>
      </c>
      <c r="X115" s="52">
        <v>0.0</v>
      </c>
      <c r="Y115" s="52">
        <v>13826.0</v>
      </c>
      <c r="Z115" s="52">
        <v>73.6052</v>
      </c>
      <c r="AA115" s="52">
        <v>4958.0</v>
      </c>
      <c r="AB115" s="51">
        <f t="shared" si="3"/>
        <v>0.2639480409</v>
      </c>
      <c r="AC115" s="52">
        <v>40.0</v>
      </c>
      <c r="AD115" s="51">
        <f t="shared" si="4"/>
        <v>0.002129471891</v>
      </c>
      <c r="AE115" s="52">
        <v>0.0</v>
      </c>
      <c r="AF115" s="52">
        <v>0.0</v>
      </c>
      <c r="AG115" s="52">
        <v>4505.48184625213</v>
      </c>
      <c r="AH115" s="52">
        <v>16176.55</v>
      </c>
      <c r="AI115" s="52">
        <v>60267.0</v>
      </c>
      <c r="AJ115" s="52">
        <v>5028.9455257593</v>
      </c>
      <c r="AK115" s="52">
        <v>60964.097126</v>
      </c>
      <c r="AL115" s="53">
        <v>3.0</v>
      </c>
      <c r="AM115" s="52">
        <v>503.0</v>
      </c>
      <c r="AN115" s="52">
        <v>167.67</v>
      </c>
      <c r="AO115" s="52">
        <v>2.4814</v>
      </c>
      <c r="AP115" s="52">
        <v>2481.4</v>
      </c>
      <c r="AQ115" s="52">
        <v>1034.0703</v>
      </c>
      <c r="AR115" s="52">
        <v>44.7</v>
      </c>
      <c r="AS115" s="52">
        <v>35.8</v>
      </c>
      <c r="AT115" s="52">
        <v>3102.0</v>
      </c>
      <c r="AU115" s="52">
        <v>1293.0</v>
      </c>
      <c r="AV115" s="52">
        <v>1613.0</v>
      </c>
      <c r="AW115" s="52">
        <v>672.0</v>
      </c>
      <c r="AX115" s="59"/>
      <c r="AY115" s="60" t="s">
        <v>801</v>
      </c>
      <c r="AZ115" s="59"/>
      <c r="BA115" s="59"/>
      <c r="BB115" s="59"/>
      <c r="BC115" s="52">
        <v>10.0</v>
      </c>
      <c r="BD115" s="52">
        <v>10.0</v>
      </c>
      <c r="BE115" s="52">
        <v>10000.0</v>
      </c>
      <c r="BF115" s="68" t="s">
        <v>370</v>
      </c>
      <c r="BG115" s="68" t="s">
        <v>388</v>
      </c>
      <c r="BH115" s="68" t="s">
        <v>465</v>
      </c>
      <c r="BI115" s="71" t="s">
        <v>373</v>
      </c>
    </row>
    <row r="116" ht="22.5" customHeight="1">
      <c r="A116" s="72" t="s">
        <v>802</v>
      </c>
      <c r="B116" s="69" t="s">
        <v>803</v>
      </c>
      <c r="C116" s="62" t="s">
        <v>50</v>
      </c>
      <c r="D116" s="62" t="s">
        <v>391</v>
      </c>
      <c r="E116" s="69" t="s">
        <v>804</v>
      </c>
      <c r="F116" s="69" t="s">
        <v>803</v>
      </c>
      <c r="G116" s="40">
        <v>130.0</v>
      </c>
      <c r="H116" s="40">
        <v>113897.6377</v>
      </c>
      <c r="I116" s="40">
        <v>40.2227</v>
      </c>
      <c r="J116" s="40">
        <v>22.6473</v>
      </c>
      <c r="K116" s="40">
        <v>0.6837</v>
      </c>
      <c r="L116" s="40">
        <v>288.6133</v>
      </c>
      <c r="M116" s="40">
        <v>0.0</v>
      </c>
      <c r="N116" s="40">
        <v>0.0</v>
      </c>
      <c r="O116" s="40">
        <v>186.04</v>
      </c>
      <c r="P116" s="40">
        <v>206.121</v>
      </c>
      <c r="Q116" s="40">
        <v>140.3944</v>
      </c>
      <c r="R116" s="36">
        <v>2500.0</v>
      </c>
      <c r="S116" s="36">
        <v>150.0</v>
      </c>
      <c r="T116" s="36">
        <v>3000.0</v>
      </c>
      <c r="U116" s="36">
        <v>300.0</v>
      </c>
      <c r="V116" s="40">
        <v>1384.0</v>
      </c>
      <c r="W116" s="40">
        <v>17915.0</v>
      </c>
      <c r="X116" s="40">
        <v>0.0</v>
      </c>
      <c r="Y116" s="40">
        <v>13480.0</v>
      </c>
      <c r="Z116" s="40">
        <v>75.2442</v>
      </c>
      <c r="AA116" s="40">
        <v>4435.0</v>
      </c>
      <c r="AB116" s="37">
        <f t="shared" si="3"/>
        <v>0.2475579124</v>
      </c>
      <c r="AC116" s="40">
        <v>98.0</v>
      </c>
      <c r="AD116" s="37">
        <f t="shared" si="4"/>
        <v>0.005470276305</v>
      </c>
      <c r="AE116" s="40">
        <v>0.0</v>
      </c>
      <c r="AF116" s="40">
        <v>0.0</v>
      </c>
      <c r="AG116" s="40">
        <v>4399.168629639967</v>
      </c>
      <c r="AH116" s="40">
        <v>16898.0</v>
      </c>
      <c r="AI116" s="40">
        <v>60424.0</v>
      </c>
      <c r="AJ116" s="40">
        <v>4777.467105352952</v>
      </c>
      <c r="AK116" s="40">
        <v>64755.251997</v>
      </c>
      <c r="AL116" s="41">
        <v>3.0</v>
      </c>
      <c r="AM116" s="40">
        <v>342.0</v>
      </c>
      <c r="AN116" s="40">
        <v>114.0</v>
      </c>
      <c r="AO116" s="40">
        <v>2.5035</v>
      </c>
      <c r="AP116" s="40">
        <v>2503.5</v>
      </c>
      <c r="AQ116" s="40">
        <v>1066.5781</v>
      </c>
      <c r="AR116" s="40">
        <v>45.2</v>
      </c>
      <c r="AS116" s="40">
        <v>31.2</v>
      </c>
      <c r="AT116" s="40">
        <v>3129.0</v>
      </c>
      <c r="AU116" s="40">
        <v>1333.0</v>
      </c>
      <c r="AV116" s="40">
        <v>1627.0</v>
      </c>
      <c r="AW116" s="40">
        <v>693.0</v>
      </c>
      <c r="AX116" s="64"/>
      <c r="AY116" s="66" t="s">
        <v>805</v>
      </c>
      <c r="AZ116" s="64"/>
      <c r="BA116" s="64"/>
      <c r="BB116" s="64"/>
      <c r="BC116" s="40">
        <v>10.0</v>
      </c>
      <c r="BD116" s="40">
        <v>10.0</v>
      </c>
      <c r="BE116" s="40">
        <v>10000.0</v>
      </c>
      <c r="BF116" s="69" t="s">
        <v>370</v>
      </c>
      <c r="BG116" s="69" t="s">
        <v>388</v>
      </c>
      <c r="BH116" s="69" t="s">
        <v>465</v>
      </c>
      <c r="BI116" s="70" t="s">
        <v>373</v>
      </c>
    </row>
    <row r="117" ht="22.5" customHeight="1">
      <c r="A117" s="73" t="s">
        <v>806</v>
      </c>
      <c r="B117" s="68" t="s">
        <v>807</v>
      </c>
      <c r="C117" s="58" t="s">
        <v>50</v>
      </c>
      <c r="D117" s="58" t="s">
        <v>398</v>
      </c>
      <c r="E117" s="68" t="s">
        <v>808</v>
      </c>
      <c r="F117" s="68" t="s">
        <v>807</v>
      </c>
      <c r="G117" s="52">
        <v>100.0</v>
      </c>
      <c r="H117" s="52">
        <v>405721.1349</v>
      </c>
      <c r="I117" s="52">
        <v>44.2602</v>
      </c>
      <c r="J117" s="52">
        <v>21.5205</v>
      </c>
      <c r="K117" s="52">
        <v>0.97</v>
      </c>
      <c r="L117" s="52">
        <v>597.3398</v>
      </c>
      <c r="M117" s="52">
        <v>0.0</v>
      </c>
      <c r="N117" s="52">
        <v>0.0</v>
      </c>
      <c r="O117" s="52">
        <v>220.2</v>
      </c>
      <c r="P117" s="52">
        <v>225.81</v>
      </c>
      <c r="Q117" s="52">
        <v>140.3944</v>
      </c>
      <c r="R117" s="49">
        <v>2500.0</v>
      </c>
      <c r="S117" s="49">
        <v>150.0</v>
      </c>
      <c r="T117" s="49">
        <v>3000.0</v>
      </c>
      <c r="U117" s="49">
        <v>300.0</v>
      </c>
      <c r="V117" s="52">
        <v>1077.0</v>
      </c>
      <c r="W117" s="52">
        <v>59074.0</v>
      </c>
      <c r="X117" s="52">
        <v>0.0</v>
      </c>
      <c r="Y117" s="52">
        <v>52139.0</v>
      </c>
      <c r="Z117" s="52">
        <v>88.2605</v>
      </c>
      <c r="AA117" s="52">
        <v>6935.0</v>
      </c>
      <c r="AB117" s="51">
        <f t="shared" si="3"/>
        <v>0.1173951315</v>
      </c>
      <c r="AC117" s="52">
        <v>264.0</v>
      </c>
      <c r="AD117" s="51">
        <f t="shared" si="4"/>
        <v>0.004468971121</v>
      </c>
      <c r="AE117" s="52">
        <v>0.0</v>
      </c>
      <c r="AF117" s="52">
        <v>0.0</v>
      </c>
      <c r="AG117" s="52">
        <v>2589.408724650438</v>
      </c>
      <c r="AH117" s="52">
        <v>11745.0</v>
      </c>
      <c r="AI117" s="52">
        <v>60333.0</v>
      </c>
      <c r="AJ117" s="52">
        <v>2727.023077629739</v>
      </c>
      <c r="AK117" s="52">
        <v>63749.785329</v>
      </c>
      <c r="AL117" s="53">
        <v>3.0</v>
      </c>
      <c r="AM117" s="52">
        <v>307.0</v>
      </c>
      <c r="AN117" s="52">
        <v>102.33</v>
      </c>
      <c r="AO117" s="52">
        <v>2.5035</v>
      </c>
      <c r="AP117" s="52">
        <v>2503.5</v>
      </c>
      <c r="AQ117" s="52">
        <v>1281.4336</v>
      </c>
      <c r="AR117" s="52">
        <v>47.0</v>
      </c>
      <c r="AS117" s="52">
        <v>31.5</v>
      </c>
      <c r="AT117" s="52">
        <v>3129.0</v>
      </c>
      <c r="AU117" s="52">
        <v>1602.0</v>
      </c>
      <c r="AV117" s="52">
        <v>1627.0</v>
      </c>
      <c r="AW117" s="52">
        <v>833.0</v>
      </c>
      <c r="AX117" s="59"/>
      <c r="AY117" s="60" t="s">
        <v>809</v>
      </c>
      <c r="AZ117" s="59"/>
      <c r="BA117" s="59"/>
      <c r="BB117" s="59"/>
      <c r="BC117" s="52">
        <v>10.0</v>
      </c>
      <c r="BD117" s="52">
        <v>10.0</v>
      </c>
      <c r="BE117" s="52">
        <v>10000.0</v>
      </c>
      <c r="BF117" s="68" t="s">
        <v>370</v>
      </c>
      <c r="BG117" s="68" t="s">
        <v>388</v>
      </c>
      <c r="BH117" s="68" t="s">
        <v>465</v>
      </c>
      <c r="BI117" s="71" t="s">
        <v>373</v>
      </c>
    </row>
    <row r="118" ht="22.5" customHeight="1">
      <c r="A118" s="72" t="s">
        <v>810</v>
      </c>
      <c r="B118" s="69" t="s">
        <v>811</v>
      </c>
      <c r="C118" s="62" t="s">
        <v>50</v>
      </c>
      <c r="D118" s="62" t="s">
        <v>404</v>
      </c>
      <c r="E118" s="69" t="s">
        <v>812</v>
      </c>
      <c r="F118" s="69" t="s">
        <v>811</v>
      </c>
      <c r="G118" s="40">
        <v>160.0</v>
      </c>
      <c r="H118" s="40">
        <v>86620.6607</v>
      </c>
      <c r="I118" s="40">
        <v>59.8209</v>
      </c>
      <c r="J118" s="40">
        <v>43.4465</v>
      </c>
      <c r="K118" s="40">
        <v>0.91</v>
      </c>
      <c r="L118" s="40">
        <v>489.6797</v>
      </c>
      <c r="M118" s="40">
        <v>0.0</v>
      </c>
      <c r="N118" s="40">
        <v>0.0</v>
      </c>
      <c r="O118" s="40">
        <v>218.34</v>
      </c>
      <c r="P118" s="40">
        <v>225.81</v>
      </c>
      <c r="Q118" s="40">
        <v>139.7628</v>
      </c>
      <c r="R118" s="36">
        <v>2500.0</v>
      </c>
      <c r="S118" s="36">
        <v>150.0</v>
      </c>
      <c r="T118" s="36">
        <v>3000.0</v>
      </c>
      <c r="U118" s="36">
        <v>300.0</v>
      </c>
      <c r="V118" s="40">
        <v>1500.0</v>
      </c>
      <c r="W118" s="40">
        <v>21569.0</v>
      </c>
      <c r="X118" s="40">
        <v>0.0</v>
      </c>
      <c r="Y118" s="40">
        <v>7520.0</v>
      </c>
      <c r="Z118" s="40">
        <v>34.8649</v>
      </c>
      <c r="AA118" s="40">
        <v>14049.0</v>
      </c>
      <c r="AB118" s="37">
        <f t="shared" si="3"/>
        <v>0.6513514767</v>
      </c>
      <c r="AC118" s="40">
        <v>853.0</v>
      </c>
      <c r="AD118" s="37">
        <f t="shared" si="4"/>
        <v>0.03954749873</v>
      </c>
      <c r="AE118" s="40">
        <v>0.0</v>
      </c>
      <c r="AF118" s="40">
        <v>0.0</v>
      </c>
      <c r="AG118" s="40">
        <v>9991.801520701007</v>
      </c>
      <c r="AH118" s="40">
        <v>27471.99999999998</v>
      </c>
      <c r="AI118" s="40">
        <v>61077.0</v>
      </c>
      <c r="AJ118" s="40">
        <v>11648.67229901337</v>
      </c>
      <c r="AK118" s="40">
        <v>72703.59233</v>
      </c>
      <c r="AL118" s="41">
        <v>3.0</v>
      </c>
      <c r="AM118" s="40">
        <v>620.0</v>
      </c>
      <c r="AN118" s="40">
        <v>206.67</v>
      </c>
      <c r="AO118" s="40">
        <v>2.5022</v>
      </c>
      <c r="AP118" s="40">
        <v>2502.2</v>
      </c>
      <c r="AQ118" s="40">
        <v>1302.707</v>
      </c>
      <c r="AR118" s="40">
        <v>41.5</v>
      </c>
      <c r="AS118" s="40">
        <v>31.4</v>
      </c>
      <c r="AT118" s="40">
        <v>3128.0</v>
      </c>
      <c r="AU118" s="40">
        <v>1628.0</v>
      </c>
      <c r="AV118" s="40">
        <v>1626.0</v>
      </c>
      <c r="AW118" s="40">
        <v>847.0</v>
      </c>
      <c r="AX118" s="64"/>
      <c r="AY118" s="66" t="s">
        <v>813</v>
      </c>
      <c r="AZ118" s="64"/>
      <c r="BA118" s="64"/>
      <c r="BB118" s="64"/>
      <c r="BC118" s="40">
        <v>10.0</v>
      </c>
      <c r="BD118" s="40">
        <v>10.0</v>
      </c>
      <c r="BE118" s="40">
        <v>10000.0</v>
      </c>
      <c r="BF118" s="69" t="s">
        <v>370</v>
      </c>
      <c r="BG118" s="69" t="s">
        <v>388</v>
      </c>
      <c r="BH118" s="69" t="s">
        <v>465</v>
      </c>
      <c r="BI118" s="70" t="s">
        <v>373</v>
      </c>
    </row>
    <row r="119" ht="22.5" customHeight="1">
      <c r="A119" s="73" t="s">
        <v>814</v>
      </c>
      <c r="B119" s="68" t="s">
        <v>815</v>
      </c>
      <c r="C119" s="58" t="s">
        <v>50</v>
      </c>
      <c r="D119" s="58" t="s">
        <v>383</v>
      </c>
      <c r="E119" s="68" t="s">
        <v>816</v>
      </c>
      <c r="F119" s="68" t="s">
        <v>815</v>
      </c>
      <c r="G119" s="52">
        <v>130.0</v>
      </c>
      <c r="H119" s="52">
        <v>167196.878</v>
      </c>
      <c r="I119" s="52">
        <v>17.19</v>
      </c>
      <c r="J119" s="52">
        <v>4.0414</v>
      </c>
      <c r="K119" s="52">
        <v>0.8581</v>
      </c>
      <c r="L119" s="52">
        <v>7.9648</v>
      </c>
      <c r="M119" s="52">
        <v>0.0</v>
      </c>
      <c r="N119" s="52">
        <v>0.0</v>
      </c>
      <c r="O119" s="52">
        <v>159.3048</v>
      </c>
      <c r="P119" s="52">
        <v>163.505</v>
      </c>
      <c r="Q119" s="52">
        <v>63.353</v>
      </c>
      <c r="R119" s="49">
        <v>2500.0</v>
      </c>
      <c r="S119" s="49">
        <v>150.0</v>
      </c>
      <c r="T119" s="49">
        <v>3000.0</v>
      </c>
      <c r="U119" s="49">
        <v>300.0</v>
      </c>
      <c r="V119" s="52">
        <v>400.0</v>
      </c>
      <c r="W119" s="52">
        <v>20399.0</v>
      </c>
      <c r="X119" s="52">
        <v>0.0</v>
      </c>
      <c r="Y119" s="52">
        <v>20399.0</v>
      </c>
      <c r="Z119" s="52">
        <v>100.0</v>
      </c>
      <c r="AA119" s="52">
        <v>0.0</v>
      </c>
      <c r="AB119" s="51">
        <f t="shared" si="3"/>
        <v>0</v>
      </c>
      <c r="AC119" s="52">
        <v>0.0</v>
      </c>
      <c r="AD119" s="51">
        <f t="shared" si="4"/>
        <v>0</v>
      </c>
      <c r="AE119" s="52">
        <v>0.0</v>
      </c>
      <c r="AF119" s="52">
        <v>0.0</v>
      </c>
      <c r="AG119" s="52">
        <v>207.8454335996863</v>
      </c>
      <c r="AH119" s="52">
        <v>370.0</v>
      </c>
      <c r="AI119" s="52">
        <v>5250.0</v>
      </c>
      <c r="AJ119" s="52">
        <v>309.6824304948764</v>
      </c>
      <c r="AK119" s="52">
        <v>5479.355369</v>
      </c>
      <c r="AL119" s="53">
        <v>6.0</v>
      </c>
      <c r="AM119" s="52">
        <v>152.0</v>
      </c>
      <c r="AN119" s="52">
        <v>25.33</v>
      </c>
      <c r="AO119" s="52">
        <v>2.2052</v>
      </c>
      <c r="AP119" s="52">
        <v>2205.2</v>
      </c>
      <c r="AQ119" s="52">
        <v>870.6328</v>
      </c>
      <c r="AR119" s="52">
        <v>59.9</v>
      </c>
      <c r="AS119" s="52">
        <v>33.3</v>
      </c>
      <c r="AT119" s="52">
        <v>2757.0</v>
      </c>
      <c r="AU119" s="52">
        <v>1088.0</v>
      </c>
      <c r="AV119" s="52">
        <v>1433.0</v>
      </c>
      <c r="AW119" s="52">
        <v>566.0</v>
      </c>
      <c r="AX119" s="59"/>
      <c r="AY119" s="60" t="s">
        <v>817</v>
      </c>
      <c r="AZ119" s="59"/>
      <c r="BA119" s="59"/>
      <c r="BB119" s="59"/>
      <c r="BC119" s="52">
        <v>10.0</v>
      </c>
      <c r="BD119" s="52">
        <v>10.0</v>
      </c>
      <c r="BE119" s="52">
        <v>10000.0</v>
      </c>
      <c r="BF119" s="68" t="s">
        <v>370</v>
      </c>
      <c r="BG119" s="68" t="s">
        <v>388</v>
      </c>
      <c r="BH119" s="68" t="s">
        <v>465</v>
      </c>
      <c r="BI119" s="71" t="s">
        <v>373</v>
      </c>
    </row>
    <row r="120" ht="22.5" customHeight="1">
      <c r="A120" s="72" t="s">
        <v>818</v>
      </c>
      <c r="B120" s="69" t="s">
        <v>819</v>
      </c>
      <c r="C120" s="62" t="s">
        <v>50</v>
      </c>
      <c r="D120" s="62" t="s">
        <v>391</v>
      </c>
      <c r="E120" s="69" t="s">
        <v>820</v>
      </c>
      <c r="F120" s="69" t="s">
        <v>819</v>
      </c>
      <c r="G120" s="40">
        <v>130.0</v>
      </c>
      <c r="H120" s="40">
        <v>159537.3877</v>
      </c>
      <c r="I120" s="40">
        <v>14.3249</v>
      </c>
      <c r="J120" s="40">
        <v>2.8043</v>
      </c>
      <c r="K120" s="40">
        <v>1.0375</v>
      </c>
      <c r="L120" s="40">
        <v>11.7344</v>
      </c>
      <c r="M120" s="40">
        <v>0.0</v>
      </c>
      <c r="N120" s="40">
        <v>0.0</v>
      </c>
      <c r="O120" s="40">
        <v>148.71</v>
      </c>
      <c r="P120" s="40">
        <v>157.35</v>
      </c>
      <c r="Q120" s="40">
        <v>44.7214</v>
      </c>
      <c r="R120" s="36">
        <v>2500.0</v>
      </c>
      <c r="S120" s="36">
        <v>150.0</v>
      </c>
      <c r="T120" s="36">
        <v>3000.0</v>
      </c>
      <c r="U120" s="36">
        <v>300.0</v>
      </c>
      <c r="V120" s="40">
        <v>400.0</v>
      </c>
      <c r="W120" s="40">
        <v>19498.0</v>
      </c>
      <c r="X120" s="40">
        <v>0.0</v>
      </c>
      <c r="Y120" s="40">
        <v>19498.0</v>
      </c>
      <c r="Z120" s="40">
        <v>100.0</v>
      </c>
      <c r="AA120" s="40">
        <v>0.0</v>
      </c>
      <c r="AB120" s="37">
        <f t="shared" si="3"/>
        <v>0</v>
      </c>
      <c r="AC120" s="40">
        <v>0.0</v>
      </c>
      <c r="AD120" s="37">
        <f t="shared" si="4"/>
        <v>0</v>
      </c>
      <c r="AE120" s="40">
        <v>0.0</v>
      </c>
      <c r="AF120" s="40">
        <v>0.0</v>
      </c>
      <c r="AG120" s="40">
        <v>182.2629500461586</v>
      </c>
      <c r="AH120" s="40">
        <v>311.0</v>
      </c>
      <c r="AI120" s="40">
        <v>3186.0</v>
      </c>
      <c r="AJ120" s="40">
        <v>267.6545555676995</v>
      </c>
      <c r="AK120" s="40">
        <v>3227.653069</v>
      </c>
      <c r="AL120" s="41">
        <v>6.0</v>
      </c>
      <c r="AM120" s="40">
        <v>156.0</v>
      </c>
      <c r="AN120" s="40">
        <v>26.0</v>
      </c>
      <c r="AO120" s="40">
        <v>2.2442</v>
      </c>
      <c r="AP120" s="40">
        <v>2244.2</v>
      </c>
      <c r="AQ120" s="40">
        <v>827.1055</v>
      </c>
      <c r="AR120" s="40">
        <v>55.5</v>
      </c>
      <c r="AS120" s="40">
        <v>33.8</v>
      </c>
      <c r="AT120" s="40">
        <v>2805.0</v>
      </c>
      <c r="AU120" s="40">
        <v>1034.0</v>
      </c>
      <c r="AV120" s="40">
        <v>1459.0</v>
      </c>
      <c r="AW120" s="40">
        <v>538.0</v>
      </c>
      <c r="AX120" s="64"/>
      <c r="AY120" s="66" t="s">
        <v>821</v>
      </c>
      <c r="AZ120" s="64"/>
      <c r="BA120" s="64"/>
      <c r="BB120" s="64"/>
      <c r="BC120" s="40">
        <v>10.0</v>
      </c>
      <c r="BD120" s="40">
        <v>10.0</v>
      </c>
      <c r="BE120" s="40">
        <v>10000.0</v>
      </c>
      <c r="BF120" s="69" t="s">
        <v>370</v>
      </c>
      <c r="BG120" s="69" t="s">
        <v>388</v>
      </c>
      <c r="BH120" s="69" t="s">
        <v>465</v>
      </c>
      <c r="BI120" s="70" t="s">
        <v>373</v>
      </c>
    </row>
    <row r="121" ht="22.5" customHeight="1">
      <c r="A121" s="73" t="s">
        <v>822</v>
      </c>
      <c r="B121" s="68" t="s">
        <v>823</v>
      </c>
      <c r="C121" s="58" t="s">
        <v>50</v>
      </c>
      <c r="D121" s="58" t="s">
        <v>398</v>
      </c>
      <c r="E121" s="68" t="s">
        <v>824</v>
      </c>
      <c r="F121" s="68" t="s">
        <v>823</v>
      </c>
      <c r="G121" s="52">
        <v>100.0</v>
      </c>
      <c r="H121" s="52">
        <v>483665.1298</v>
      </c>
      <c r="I121" s="52">
        <v>9.7128</v>
      </c>
      <c r="J121" s="52">
        <v>3.6759</v>
      </c>
      <c r="K121" s="52">
        <v>1.3038</v>
      </c>
      <c r="L121" s="52">
        <v>55.2617</v>
      </c>
      <c r="M121" s="52">
        <v>0.0</v>
      </c>
      <c r="N121" s="52">
        <v>0.0</v>
      </c>
      <c r="O121" s="52">
        <v>159.68</v>
      </c>
      <c r="P121" s="52">
        <v>163.505</v>
      </c>
      <c r="Q121" s="52">
        <v>223.6068</v>
      </c>
      <c r="R121" s="49">
        <v>2500.0</v>
      </c>
      <c r="S121" s="49">
        <v>150.0</v>
      </c>
      <c r="T121" s="49">
        <v>3000.0</v>
      </c>
      <c r="U121" s="49">
        <v>300.0</v>
      </c>
      <c r="V121" s="52">
        <v>400.0</v>
      </c>
      <c r="W121" s="52">
        <v>59999.0</v>
      </c>
      <c r="X121" s="52">
        <v>0.0</v>
      </c>
      <c r="Y121" s="52">
        <v>59994.0</v>
      </c>
      <c r="Z121" s="52">
        <v>99.9917</v>
      </c>
      <c r="AA121" s="52">
        <v>5.0</v>
      </c>
      <c r="AB121" s="51">
        <f t="shared" si="3"/>
        <v>0.00008333472225</v>
      </c>
      <c r="AC121" s="52">
        <v>0.0</v>
      </c>
      <c r="AD121" s="51">
        <f t="shared" si="4"/>
        <v>0</v>
      </c>
      <c r="AE121" s="52">
        <v>0.0</v>
      </c>
      <c r="AF121" s="52">
        <v>0.0</v>
      </c>
      <c r="AG121" s="52">
        <v>158.2015200253338</v>
      </c>
      <c r="AH121" s="52">
        <v>213.0</v>
      </c>
      <c r="AI121" s="52">
        <v>5184.0</v>
      </c>
      <c r="AJ121" s="52">
        <v>218.0514062145505</v>
      </c>
      <c r="AK121" s="52">
        <v>5219.273389</v>
      </c>
      <c r="AL121" s="53">
        <v>6.0</v>
      </c>
      <c r="AM121" s="52">
        <v>117.0</v>
      </c>
      <c r="AN121" s="52">
        <v>19.5</v>
      </c>
      <c r="AO121" s="52">
        <v>2.3471</v>
      </c>
      <c r="AP121" s="52">
        <v>2347.1</v>
      </c>
      <c r="AQ121" s="52">
        <v>833.1133</v>
      </c>
      <c r="AR121" s="52">
        <v>55.6</v>
      </c>
      <c r="AS121" s="52">
        <v>34.4</v>
      </c>
      <c r="AT121" s="52">
        <v>2934.0</v>
      </c>
      <c r="AU121" s="52">
        <v>1041.0</v>
      </c>
      <c r="AV121" s="52">
        <v>1526.0</v>
      </c>
      <c r="AW121" s="52">
        <v>542.0</v>
      </c>
      <c r="AX121" s="59"/>
      <c r="AY121" s="60" t="s">
        <v>825</v>
      </c>
      <c r="AZ121" s="59"/>
      <c r="BA121" s="59"/>
      <c r="BB121" s="59"/>
      <c r="BC121" s="52">
        <v>10.0</v>
      </c>
      <c r="BD121" s="52">
        <v>10.0</v>
      </c>
      <c r="BE121" s="52">
        <v>10000.0</v>
      </c>
      <c r="BF121" s="68" t="s">
        <v>370</v>
      </c>
      <c r="BG121" s="68" t="s">
        <v>388</v>
      </c>
      <c r="BH121" s="68" t="s">
        <v>465</v>
      </c>
      <c r="BI121" s="71" t="s">
        <v>373</v>
      </c>
    </row>
    <row r="122" ht="22.5" customHeight="1">
      <c r="A122" s="72" t="s">
        <v>826</v>
      </c>
      <c r="B122" s="69" t="s">
        <v>827</v>
      </c>
      <c r="C122" s="62" t="s">
        <v>50</v>
      </c>
      <c r="D122" s="62" t="s">
        <v>404</v>
      </c>
      <c r="E122" s="69" t="s">
        <v>828</v>
      </c>
      <c r="F122" s="69" t="s">
        <v>827</v>
      </c>
      <c r="G122" s="40">
        <v>160.0</v>
      </c>
      <c r="H122" s="40">
        <v>213253.7143</v>
      </c>
      <c r="I122" s="40">
        <v>39.6988</v>
      </c>
      <c r="J122" s="40">
        <v>17.3652</v>
      </c>
      <c r="K122" s="40">
        <v>1.4325</v>
      </c>
      <c r="L122" s="40">
        <v>69.7031</v>
      </c>
      <c r="M122" s="40">
        <v>0.0</v>
      </c>
      <c r="N122" s="40">
        <v>0.0</v>
      </c>
      <c r="O122" s="40">
        <v>176.69</v>
      </c>
      <c r="P122" s="40">
        <v>182.02</v>
      </c>
      <c r="Q122" s="40">
        <v>141.4214</v>
      </c>
      <c r="R122" s="36">
        <v>2500.0</v>
      </c>
      <c r="S122" s="36">
        <v>150.0</v>
      </c>
      <c r="T122" s="36">
        <v>3000.0</v>
      </c>
      <c r="U122" s="36">
        <v>300.0</v>
      </c>
      <c r="V122" s="40">
        <v>447.0</v>
      </c>
      <c r="W122" s="40">
        <v>25916.0</v>
      </c>
      <c r="X122" s="40">
        <v>0.0</v>
      </c>
      <c r="Y122" s="40">
        <v>25916.0</v>
      </c>
      <c r="Z122" s="40">
        <v>100.0</v>
      </c>
      <c r="AA122" s="40">
        <v>0.0</v>
      </c>
      <c r="AB122" s="37">
        <f t="shared" si="3"/>
        <v>0</v>
      </c>
      <c r="AC122" s="40">
        <v>0.0</v>
      </c>
      <c r="AD122" s="37">
        <f t="shared" si="4"/>
        <v>0</v>
      </c>
      <c r="AE122" s="40">
        <v>0.0</v>
      </c>
      <c r="AF122" s="40">
        <v>0.0</v>
      </c>
      <c r="AG122" s="40">
        <v>632.5858157123013</v>
      </c>
      <c r="AH122" s="40">
        <v>1539.5</v>
      </c>
      <c r="AI122" s="40">
        <v>5231.0</v>
      </c>
      <c r="AJ122" s="40">
        <v>1379.506790914718</v>
      </c>
      <c r="AK122" s="40">
        <v>5912.191544</v>
      </c>
      <c r="AL122" s="41">
        <v>6.0</v>
      </c>
      <c r="AM122" s="40">
        <v>268.0</v>
      </c>
      <c r="AN122" s="40">
        <v>44.67</v>
      </c>
      <c r="AO122" s="40">
        <v>2.2925</v>
      </c>
      <c r="AP122" s="40">
        <v>2292.5</v>
      </c>
      <c r="AQ122" s="40">
        <v>889.8594</v>
      </c>
      <c r="AR122" s="40">
        <v>64.9</v>
      </c>
      <c r="AS122" s="40">
        <v>35.7</v>
      </c>
      <c r="AT122" s="40">
        <v>2866.0</v>
      </c>
      <c r="AU122" s="40">
        <v>1112.0</v>
      </c>
      <c r="AV122" s="40">
        <v>1490.0</v>
      </c>
      <c r="AW122" s="40">
        <v>578.0</v>
      </c>
      <c r="AX122" s="64"/>
      <c r="AY122" s="66" t="s">
        <v>829</v>
      </c>
      <c r="AZ122" s="64"/>
      <c r="BA122" s="64"/>
      <c r="BB122" s="64"/>
      <c r="BC122" s="40">
        <v>10.0</v>
      </c>
      <c r="BD122" s="40">
        <v>10.0</v>
      </c>
      <c r="BE122" s="40">
        <v>10000.0</v>
      </c>
      <c r="BF122" s="69" t="s">
        <v>370</v>
      </c>
      <c r="BG122" s="69" t="s">
        <v>388</v>
      </c>
      <c r="BH122" s="69" t="s">
        <v>465</v>
      </c>
      <c r="BI122" s="70" t="s">
        <v>373</v>
      </c>
    </row>
    <row r="123" ht="22.5" customHeight="1">
      <c r="A123" s="73" t="s">
        <v>830</v>
      </c>
      <c r="B123" s="68" t="s">
        <v>831</v>
      </c>
      <c r="C123" s="58" t="s">
        <v>50</v>
      </c>
      <c r="D123" s="58" t="s">
        <v>383</v>
      </c>
      <c r="E123" s="68" t="s">
        <v>832</v>
      </c>
      <c r="F123" s="68" t="s">
        <v>831</v>
      </c>
      <c r="G123" s="52">
        <v>130.0</v>
      </c>
      <c r="H123" s="52">
        <v>164752.3664</v>
      </c>
      <c r="I123" s="52">
        <v>5.2977</v>
      </c>
      <c r="J123" s="52">
        <v>0.9289</v>
      </c>
      <c r="K123" s="52">
        <v>1.0781</v>
      </c>
      <c r="L123" s="52">
        <v>147.0664</v>
      </c>
      <c r="M123" s="52">
        <v>0.0</v>
      </c>
      <c r="N123" s="52">
        <v>0.0</v>
      </c>
      <c r="O123" s="52">
        <v>103.02</v>
      </c>
      <c r="P123" s="52">
        <v>112.344</v>
      </c>
      <c r="Q123" s="52">
        <v>282.8427</v>
      </c>
      <c r="R123" s="49">
        <v>2500.0</v>
      </c>
      <c r="S123" s="49">
        <v>150.0</v>
      </c>
      <c r="T123" s="49">
        <v>3000.0</v>
      </c>
      <c r="U123" s="49">
        <v>300.0</v>
      </c>
      <c r="V123" s="52">
        <v>400.0</v>
      </c>
      <c r="W123" s="52">
        <v>20399.0</v>
      </c>
      <c r="X123" s="52">
        <v>0.0</v>
      </c>
      <c r="Y123" s="52">
        <v>20399.0</v>
      </c>
      <c r="Z123" s="52">
        <v>100.0</v>
      </c>
      <c r="AA123" s="52">
        <v>0.0</v>
      </c>
      <c r="AB123" s="51">
        <f t="shared" si="3"/>
        <v>0</v>
      </c>
      <c r="AC123" s="52">
        <v>0.0</v>
      </c>
      <c r="AD123" s="51">
        <f t="shared" si="4"/>
        <v>0</v>
      </c>
      <c r="AE123" s="52">
        <v>0.0</v>
      </c>
      <c r="AF123" s="52">
        <v>0.0</v>
      </c>
      <c r="AG123" s="52">
        <v>168.3759498014608</v>
      </c>
      <c r="AH123" s="52">
        <v>233.0</v>
      </c>
      <c r="AI123" s="52">
        <v>5165.0</v>
      </c>
      <c r="AJ123" s="52">
        <v>251.4318003525186</v>
      </c>
      <c r="AK123" s="52">
        <v>5305.320922</v>
      </c>
      <c r="AL123" s="53">
        <v>9.0</v>
      </c>
      <c r="AM123" s="52">
        <v>147.0</v>
      </c>
      <c r="AN123" s="52">
        <v>16.33</v>
      </c>
      <c r="AO123" s="52">
        <v>1.7765</v>
      </c>
      <c r="AP123" s="52">
        <v>1776.5</v>
      </c>
      <c r="AQ123" s="52">
        <v>813.1406</v>
      </c>
      <c r="AR123" s="52">
        <v>54.1</v>
      </c>
      <c r="AS123" s="52">
        <v>29.0</v>
      </c>
      <c r="AT123" s="52">
        <v>2221.0</v>
      </c>
      <c r="AU123" s="52">
        <v>1016.0</v>
      </c>
      <c r="AV123" s="52">
        <v>1155.0</v>
      </c>
      <c r="AW123" s="52">
        <v>529.0</v>
      </c>
      <c r="AX123" s="59"/>
      <c r="AY123" s="60" t="s">
        <v>833</v>
      </c>
      <c r="AZ123" s="59"/>
      <c r="BA123" s="59"/>
      <c r="BB123" s="59"/>
      <c r="BC123" s="52">
        <v>10.0</v>
      </c>
      <c r="BD123" s="52">
        <v>10.0</v>
      </c>
      <c r="BE123" s="52">
        <v>10000.0</v>
      </c>
      <c r="BF123" s="68" t="s">
        <v>370</v>
      </c>
      <c r="BG123" s="68" t="s">
        <v>388</v>
      </c>
      <c r="BH123" s="68" t="s">
        <v>465</v>
      </c>
      <c r="BI123" s="71" t="s">
        <v>373</v>
      </c>
    </row>
    <row r="124" ht="22.5" customHeight="1">
      <c r="A124" s="72" t="s">
        <v>834</v>
      </c>
      <c r="B124" s="69" t="s">
        <v>835</v>
      </c>
      <c r="C124" s="62" t="s">
        <v>50</v>
      </c>
      <c r="D124" s="62" t="s">
        <v>391</v>
      </c>
      <c r="E124" s="69" t="s">
        <v>836</v>
      </c>
      <c r="F124" s="69" t="s">
        <v>835</v>
      </c>
      <c r="G124" s="40">
        <v>130.0</v>
      </c>
      <c r="H124" s="40">
        <v>160481.4639</v>
      </c>
      <c r="I124" s="40">
        <v>4.8837</v>
      </c>
      <c r="J124" s="40">
        <v>0.9536</v>
      </c>
      <c r="K124" s="40">
        <v>1.0944</v>
      </c>
      <c r="L124" s="40">
        <v>25.25</v>
      </c>
      <c r="M124" s="40">
        <v>0.0</v>
      </c>
      <c r="N124" s="40">
        <v>0.0</v>
      </c>
      <c r="O124" s="40">
        <v>103.02</v>
      </c>
      <c r="P124" s="40">
        <v>112.344</v>
      </c>
      <c r="Q124" s="40">
        <v>200.0</v>
      </c>
      <c r="R124" s="36">
        <v>2500.0</v>
      </c>
      <c r="S124" s="36">
        <v>150.0</v>
      </c>
      <c r="T124" s="36">
        <v>3000.0</v>
      </c>
      <c r="U124" s="36">
        <v>300.0</v>
      </c>
      <c r="V124" s="40">
        <v>400.0</v>
      </c>
      <c r="W124" s="40">
        <v>19499.0</v>
      </c>
      <c r="X124" s="40">
        <v>0.0</v>
      </c>
      <c r="Y124" s="40">
        <v>19499.0</v>
      </c>
      <c r="Z124" s="40">
        <v>100.0</v>
      </c>
      <c r="AA124" s="40">
        <v>0.0</v>
      </c>
      <c r="AB124" s="37">
        <f t="shared" si="3"/>
        <v>0</v>
      </c>
      <c r="AC124" s="40">
        <v>0.0</v>
      </c>
      <c r="AD124" s="37">
        <f t="shared" si="4"/>
        <v>0</v>
      </c>
      <c r="AE124" s="40">
        <v>0.0</v>
      </c>
      <c r="AF124" s="40">
        <v>0.0</v>
      </c>
      <c r="AG124" s="40">
        <v>175.2328324529463</v>
      </c>
      <c r="AH124" s="40">
        <v>243.0</v>
      </c>
      <c r="AI124" s="40">
        <v>5297.0</v>
      </c>
      <c r="AJ124" s="40">
        <v>261.9150029991275</v>
      </c>
      <c r="AK124" s="40">
        <v>5515.115158</v>
      </c>
      <c r="AL124" s="41">
        <v>9.0</v>
      </c>
      <c r="AM124" s="40">
        <v>161.0</v>
      </c>
      <c r="AN124" s="40">
        <v>17.89</v>
      </c>
      <c r="AO124" s="40">
        <v>1.8475</v>
      </c>
      <c r="AP124" s="40">
        <v>1847.5</v>
      </c>
      <c r="AQ124" s="40">
        <v>745.1953</v>
      </c>
      <c r="AR124" s="40">
        <v>47.7</v>
      </c>
      <c r="AS124" s="40">
        <v>29.6</v>
      </c>
      <c r="AT124" s="40">
        <v>2309.0</v>
      </c>
      <c r="AU124" s="40">
        <v>931.0</v>
      </c>
      <c r="AV124" s="40">
        <v>1201.0</v>
      </c>
      <c r="AW124" s="40">
        <v>484.0</v>
      </c>
      <c r="AX124" s="64"/>
      <c r="AY124" s="66" t="s">
        <v>837</v>
      </c>
      <c r="AZ124" s="64"/>
      <c r="BA124" s="64"/>
      <c r="BB124" s="64"/>
      <c r="BC124" s="40">
        <v>10.0</v>
      </c>
      <c r="BD124" s="40">
        <v>10.0</v>
      </c>
      <c r="BE124" s="40">
        <v>10000.0</v>
      </c>
      <c r="BF124" s="69" t="s">
        <v>370</v>
      </c>
      <c r="BG124" s="69" t="s">
        <v>388</v>
      </c>
      <c r="BH124" s="69" t="s">
        <v>465</v>
      </c>
      <c r="BI124" s="70" t="s">
        <v>373</v>
      </c>
    </row>
    <row r="125" ht="22.5" customHeight="1">
      <c r="A125" s="73" t="s">
        <v>838</v>
      </c>
      <c r="B125" s="68" t="s">
        <v>839</v>
      </c>
      <c r="C125" s="58" t="s">
        <v>50</v>
      </c>
      <c r="D125" s="58" t="s">
        <v>398</v>
      </c>
      <c r="E125" s="68" t="s">
        <v>840</v>
      </c>
      <c r="F125" s="68" t="s">
        <v>839</v>
      </c>
      <c r="G125" s="52">
        <v>100.0</v>
      </c>
      <c r="H125" s="52">
        <v>483680.2443</v>
      </c>
      <c r="I125" s="52">
        <v>3.3349</v>
      </c>
      <c r="J125" s="52">
        <v>1.3408</v>
      </c>
      <c r="K125" s="52">
        <v>1.0781</v>
      </c>
      <c r="L125" s="52">
        <v>147.0664</v>
      </c>
      <c r="M125" s="52">
        <v>0.0</v>
      </c>
      <c r="N125" s="52">
        <v>0.0</v>
      </c>
      <c r="O125" s="52">
        <v>105.18</v>
      </c>
      <c r="P125" s="52">
        <v>113.144</v>
      </c>
      <c r="Q125" s="52">
        <v>282.8427</v>
      </c>
      <c r="R125" s="49">
        <v>2500.0</v>
      </c>
      <c r="S125" s="49">
        <v>150.0</v>
      </c>
      <c r="T125" s="49">
        <v>3000.0</v>
      </c>
      <c r="U125" s="49">
        <v>300.0</v>
      </c>
      <c r="V125" s="52">
        <v>400.0</v>
      </c>
      <c r="W125" s="52">
        <v>59999.0</v>
      </c>
      <c r="X125" s="52">
        <v>0.0</v>
      </c>
      <c r="Y125" s="52">
        <v>59999.0</v>
      </c>
      <c r="Z125" s="52">
        <v>100.0</v>
      </c>
      <c r="AA125" s="52">
        <v>0.0</v>
      </c>
      <c r="AB125" s="51">
        <f t="shared" si="3"/>
        <v>0</v>
      </c>
      <c r="AC125" s="52">
        <v>0.0</v>
      </c>
      <c r="AD125" s="51">
        <f t="shared" si="4"/>
        <v>0</v>
      </c>
      <c r="AE125" s="52">
        <v>0.0</v>
      </c>
      <c r="AF125" s="52">
        <v>0.0</v>
      </c>
      <c r="AG125" s="52">
        <v>153.9888331472191</v>
      </c>
      <c r="AH125" s="52">
        <v>193.0</v>
      </c>
      <c r="AI125" s="52">
        <v>5223.0</v>
      </c>
      <c r="AJ125" s="52">
        <v>214.3724213664905</v>
      </c>
      <c r="AK125" s="52">
        <v>6835.435149</v>
      </c>
      <c r="AL125" s="53">
        <v>9.0</v>
      </c>
      <c r="AM125" s="52">
        <v>112.0</v>
      </c>
      <c r="AN125" s="52">
        <v>12.44</v>
      </c>
      <c r="AO125" s="52">
        <v>1.8475</v>
      </c>
      <c r="AP125" s="52">
        <v>1847.5</v>
      </c>
      <c r="AQ125" s="52">
        <v>813.1406</v>
      </c>
      <c r="AR125" s="52">
        <v>52.2</v>
      </c>
      <c r="AS125" s="52">
        <v>31.9</v>
      </c>
      <c r="AT125" s="52">
        <v>2309.0</v>
      </c>
      <c r="AU125" s="52">
        <v>1016.0</v>
      </c>
      <c r="AV125" s="52">
        <v>1201.0</v>
      </c>
      <c r="AW125" s="52">
        <v>529.0</v>
      </c>
      <c r="AX125" s="59"/>
      <c r="AY125" s="60" t="s">
        <v>841</v>
      </c>
      <c r="AZ125" s="59"/>
      <c r="BA125" s="59"/>
      <c r="BB125" s="59"/>
      <c r="BC125" s="52">
        <v>10.0</v>
      </c>
      <c r="BD125" s="52">
        <v>10.0</v>
      </c>
      <c r="BE125" s="52">
        <v>10000.0</v>
      </c>
      <c r="BF125" s="68" t="s">
        <v>370</v>
      </c>
      <c r="BG125" s="68" t="s">
        <v>388</v>
      </c>
      <c r="BH125" s="68" t="s">
        <v>465</v>
      </c>
      <c r="BI125" s="71" t="s">
        <v>373</v>
      </c>
    </row>
    <row r="126" ht="22.5" customHeight="1">
      <c r="A126" s="72" t="s">
        <v>842</v>
      </c>
      <c r="B126" s="69" t="s">
        <v>843</v>
      </c>
      <c r="C126" s="62" t="s">
        <v>50</v>
      </c>
      <c r="D126" s="62" t="s">
        <v>404</v>
      </c>
      <c r="E126" s="69" t="s">
        <v>844</v>
      </c>
      <c r="F126" s="69" t="s">
        <v>843</v>
      </c>
      <c r="G126" s="40">
        <v>160.0</v>
      </c>
      <c r="H126" s="40">
        <v>211584.3429</v>
      </c>
      <c r="I126" s="40">
        <v>12.3914</v>
      </c>
      <c r="J126" s="40">
        <v>3.8211</v>
      </c>
      <c r="K126" s="40">
        <v>1.1475</v>
      </c>
      <c r="L126" s="40">
        <v>52.3242</v>
      </c>
      <c r="M126" s="40">
        <v>0.0</v>
      </c>
      <c r="N126" s="40">
        <v>0.0</v>
      </c>
      <c r="O126" s="40">
        <v>117.28</v>
      </c>
      <c r="P126" s="40">
        <v>122.952</v>
      </c>
      <c r="Q126" s="40">
        <v>282.8427</v>
      </c>
      <c r="R126" s="36">
        <v>2500.0</v>
      </c>
      <c r="S126" s="36">
        <v>150.0</v>
      </c>
      <c r="T126" s="36">
        <v>3000.0</v>
      </c>
      <c r="U126" s="36">
        <v>300.0</v>
      </c>
      <c r="V126" s="40">
        <v>442.0</v>
      </c>
      <c r="W126" s="40">
        <v>25706.0</v>
      </c>
      <c r="X126" s="40">
        <v>0.0</v>
      </c>
      <c r="Y126" s="40">
        <v>25706.0</v>
      </c>
      <c r="Z126" s="40">
        <v>100.0</v>
      </c>
      <c r="AA126" s="40">
        <v>0.0</v>
      </c>
      <c r="AB126" s="37">
        <f t="shared" si="3"/>
        <v>0</v>
      </c>
      <c r="AC126" s="40">
        <v>0.0</v>
      </c>
      <c r="AD126" s="37">
        <f t="shared" si="4"/>
        <v>0</v>
      </c>
      <c r="AE126" s="40">
        <v>0.0</v>
      </c>
      <c r="AF126" s="40">
        <v>0.0</v>
      </c>
      <c r="AG126" s="40">
        <v>624.7306854430872</v>
      </c>
      <c r="AH126" s="40">
        <v>1385.0</v>
      </c>
      <c r="AI126" s="40">
        <v>7425.0</v>
      </c>
      <c r="AJ126" s="40">
        <v>1475.408212926867</v>
      </c>
      <c r="AK126" s="40">
        <v>8588.790312</v>
      </c>
      <c r="AL126" s="41">
        <v>9.0</v>
      </c>
      <c r="AM126" s="40">
        <v>236.0</v>
      </c>
      <c r="AN126" s="40">
        <v>26.22</v>
      </c>
      <c r="AO126" s="40">
        <v>1.8879</v>
      </c>
      <c r="AP126" s="40">
        <v>1887.9</v>
      </c>
      <c r="AQ126" s="40">
        <v>832.0586</v>
      </c>
      <c r="AR126" s="40">
        <v>56.5</v>
      </c>
      <c r="AS126" s="40">
        <v>32.9</v>
      </c>
      <c r="AT126" s="40">
        <v>2360.0</v>
      </c>
      <c r="AU126" s="40">
        <v>1040.0</v>
      </c>
      <c r="AV126" s="40">
        <v>1227.0</v>
      </c>
      <c r="AW126" s="40">
        <v>541.0</v>
      </c>
      <c r="AX126" s="64"/>
      <c r="AY126" s="66" t="s">
        <v>845</v>
      </c>
      <c r="AZ126" s="64"/>
      <c r="BA126" s="64"/>
      <c r="BB126" s="64"/>
      <c r="BC126" s="40">
        <v>10.0</v>
      </c>
      <c r="BD126" s="40">
        <v>10.0</v>
      </c>
      <c r="BE126" s="40">
        <v>10000.0</v>
      </c>
      <c r="BF126" s="69" t="s">
        <v>370</v>
      </c>
      <c r="BG126" s="69" t="s">
        <v>388</v>
      </c>
      <c r="BH126" s="69" t="s">
        <v>465</v>
      </c>
      <c r="BI126" s="70" t="s">
        <v>373</v>
      </c>
    </row>
    <row r="127" ht="22.5" customHeight="1">
      <c r="A127" s="75" t="s">
        <v>846</v>
      </c>
      <c r="B127" s="68" t="s">
        <v>847</v>
      </c>
      <c r="C127" s="58" t="s">
        <v>50</v>
      </c>
      <c r="D127" s="58" t="s">
        <v>383</v>
      </c>
      <c r="E127" s="68" t="s">
        <v>848</v>
      </c>
      <c r="F127" s="68" t="s">
        <v>847</v>
      </c>
      <c r="G127" s="52">
        <v>130.0</v>
      </c>
      <c r="H127" s="52">
        <v>103156.5016</v>
      </c>
      <c r="I127" s="52">
        <v>48.8143</v>
      </c>
      <c r="J127" s="52">
        <v>18.7495</v>
      </c>
      <c r="K127" s="52">
        <v>0.7481</v>
      </c>
      <c r="L127" s="52">
        <v>594.4414</v>
      </c>
      <c r="M127" s="59"/>
      <c r="N127" s="59"/>
      <c r="O127" s="52">
        <v>188.16</v>
      </c>
      <c r="P127" s="52">
        <v>194.742</v>
      </c>
      <c r="Q127" s="52">
        <v>91.5981</v>
      </c>
      <c r="R127" s="68" t="s">
        <v>849</v>
      </c>
      <c r="S127" s="68" t="s">
        <v>850</v>
      </c>
      <c r="T127" s="68" t="s">
        <v>851</v>
      </c>
      <c r="U127" s="68" t="s">
        <v>852</v>
      </c>
      <c r="V127" s="52">
        <v>1500.0</v>
      </c>
      <c r="W127" s="52">
        <v>18237.0</v>
      </c>
      <c r="X127" s="59"/>
      <c r="Y127" s="52">
        <v>12444.0</v>
      </c>
      <c r="Z127" s="52">
        <v>68.2349</v>
      </c>
      <c r="AA127" s="52">
        <v>5793.0</v>
      </c>
      <c r="AB127" s="51">
        <f t="shared" si="3"/>
        <v>0.3176509294</v>
      </c>
      <c r="AC127" s="52">
        <v>386.0</v>
      </c>
      <c r="AD127" s="51">
        <f t="shared" si="4"/>
        <v>0.02116576191</v>
      </c>
      <c r="AE127" s="52">
        <v>0.0</v>
      </c>
      <c r="AF127" s="52">
        <v>0.0</v>
      </c>
      <c r="AG127" s="52">
        <v>5953.068816143006</v>
      </c>
      <c r="AH127" s="52">
        <v>18475.6</v>
      </c>
      <c r="AI127" s="52">
        <v>61172.0</v>
      </c>
      <c r="AJ127" s="52">
        <v>6612.504866140631</v>
      </c>
      <c r="AK127" s="52">
        <v>68424.401749</v>
      </c>
      <c r="AL127" s="53">
        <v>3.0</v>
      </c>
      <c r="AM127" s="52">
        <v>531.0</v>
      </c>
      <c r="AN127" s="52">
        <v>177.0</v>
      </c>
      <c r="AO127" s="52">
        <v>2.4856</v>
      </c>
      <c r="AP127" s="52">
        <v>2485.6</v>
      </c>
      <c r="AQ127" s="52">
        <v>1038.4023</v>
      </c>
      <c r="AR127" s="52">
        <v>44.9</v>
      </c>
      <c r="AS127" s="52">
        <v>35.1</v>
      </c>
      <c r="AT127" s="52">
        <v>3107.0</v>
      </c>
      <c r="AU127" s="52">
        <v>1298.0</v>
      </c>
      <c r="AV127" s="52">
        <v>1616.0</v>
      </c>
      <c r="AW127" s="52">
        <v>675.0</v>
      </c>
      <c r="AX127" s="59"/>
      <c r="AY127" s="60" t="s">
        <v>853</v>
      </c>
      <c r="AZ127" s="59"/>
      <c r="BA127" s="59"/>
      <c r="BB127" s="59"/>
      <c r="BC127" s="52">
        <v>10.0</v>
      </c>
      <c r="BD127" s="52">
        <v>10.0</v>
      </c>
      <c r="BE127" s="52">
        <v>10000.0</v>
      </c>
      <c r="BF127" s="68" t="s">
        <v>370</v>
      </c>
      <c r="BG127" s="68" t="s">
        <v>388</v>
      </c>
      <c r="BH127" s="68" t="s">
        <v>487</v>
      </c>
      <c r="BI127" s="71" t="s">
        <v>373</v>
      </c>
    </row>
    <row r="128" ht="22.5" customHeight="1">
      <c r="A128" s="76" t="s">
        <v>854</v>
      </c>
      <c r="B128" s="69" t="s">
        <v>855</v>
      </c>
      <c r="C128" s="62" t="s">
        <v>50</v>
      </c>
      <c r="D128" s="62" t="s">
        <v>391</v>
      </c>
      <c r="E128" s="69" t="s">
        <v>856</v>
      </c>
      <c r="F128" s="69" t="s">
        <v>855</v>
      </c>
      <c r="G128" s="40">
        <v>130.0</v>
      </c>
      <c r="H128" s="40">
        <v>101650.5386</v>
      </c>
      <c r="I128" s="40">
        <v>43.2674</v>
      </c>
      <c r="J128" s="40">
        <v>20.284</v>
      </c>
      <c r="K128" s="40">
        <v>0.9762</v>
      </c>
      <c r="L128" s="40">
        <v>463.6328</v>
      </c>
      <c r="M128" s="64"/>
      <c r="N128" s="64"/>
      <c r="O128" s="40">
        <v>182.34</v>
      </c>
      <c r="P128" s="40">
        <v>205.876</v>
      </c>
      <c r="Q128" s="40">
        <v>141.0953</v>
      </c>
      <c r="R128" s="69" t="s">
        <v>849</v>
      </c>
      <c r="S128" s="69" t="s">
        <v>850</v>
      </c>
      <c r="T128" s="69" t="s">
        <v>851</v>
      </c>
      <c r="U128" s="69" t="s">
        <v>852</v>
      </c>
      <c r="V128" s="40">
        <v>1353.0</v>
      </c>
      <c r="W128" s="40">
        <v>18008.0</v>
      </c>
      <c r="X128" s="64"/>
      <c r="Y128" s="40">
        <v>13847.0</v>
      </c>
      <c r="Z128" s="40">
        <v>76.8936</v>
      </c>
      <c r="AA128" s="40">
        <v>4161.0</v>
      </c>
      <c r="AB128" s="37">
        <f t="shared" si="3"/>
        <v>0.2310639716</v>
      </c>
      <c r="AC128" s="40">
        <v>168.0</v>
      </c>
      <c r="AD128" s="37">
        <f t="shared" si="4"/>
        <v>0.009329187028</v>
      </c>
      <c r="AE128" s="40">
        <v>0.0</v>
      </c>
      <c r="AF128" s="40">
        <v>0.0</v>
      </c>
      <c r="AG128" s="40">
        <v>4522.353565082186</v>
      </c>
      <c r="AH128" s="40">
        <v>15814.19999999998</v>
      </c>
      <c r="AI128" s="40">
        <v>60386.0</v>
      </c>
      <c r="AJ128" s="40">
        <v>4779.578676852484</v>
      </c>
      <c r="AK128" s="40">
        <v>62657.009335</v>
      </c>
      <c r="AL128" s="41">
        <v>3.0</v>
      </c>
      <c r="AM128" s="40">
        <v>289.0</v>
      </c>
      <c r="AN128" s="40">
        <v>96.33</v>
      </c>
      <c r="AO128" s="40">
        <v>2.5009</v>
      </c>
      <c r="AP128" s="40">
        <v>2500.9</v>
      </c>
      <c r="AQ128" s="40">
        <v>1190.1133</v>
      </c>
      <c r="AR128" s="40">
        <v>45.8</v>
      </c>
      <c r="AS128" s="40">
        <v>36.9</v>
      </c>
      <c r="AT128" s="40">
        <v>3126.0</v>
      </c>
      <c r="AU128" s="40">
        <v>1488.0</v>
      </c>
      <c r="AV128" s="40">
        <v>1626.0</v>
      </c>
      <c r="AW128" s="40">
        <v>774.0</v>
      </c>
      <c r="AX128" s="64"/>
      <c r="AY128" s="66" t="s">
        <v>857</v>
      </c>
      <c r="AZ128" s="64"/>
      <c r="BA128" s="62" t="s">
        <v>858</v>
      </c>
      <c r="BB128" s="64"/>
      <c r="BC128" s="40">
        <v>10.0</v>
      </c>
      <c r="BD128" s="40">
        <v>10.0</v>
      </c>
      <c r="BE128" s="40">
        <v>10000.0</v>
      </c>
      <c r="BF128" s="69" t="s">
        <v>370</v>
      </c>
      <c r="BG128" s="69" t="s">
        <v>388</v>
      </c>
      <c r="BH128" s="69" t="s">
        <v>487</v>
      </c>
      <c r="BI128" s="70" t="s">
        <v>373</v>
      </c>
    </row>
    <row r="129" ht="22.5" customHeight="1">
      <c r="A129" s="75" t="s">
        <v>859</v>
      </c>
      <c r="B129" s="68" t="s">
        <v>860</v>
      </c>
      <c r="C129" s="58" t="s">
        <v>50</v>
      </c>
      <c r="D129" s="58" t="s">
        <v>398</v>
      </c>
      <c r="E129" s="68" t="s">
        <v>861</v>
      </c>
      <c r="F129" s="68" t="s">
        <v>860</v>
      </c>
      <c r="G129" s="52">
        <v>100.0</v>
      </c>
      <c r="H129" s="52">
        <v>408971.2305</v>
      </c>
      <c r="I129" s="52">
        <v>44.1096</v>
      </c>
      <c r="J129" s="52">
        <v>16.1069</v>
      </c>
      <c r="K129" s="52">
        <v>0.8562</v>
      </c>
      <c r="L129" s="52">
        <v>682.75</v>
      </c>
      <c r="M129" s="59"/>
      <c r="N129" s="59"/>
      <c r="O129" s="52">
        <v>211.76</v>
      </c>
      <c r="P129" s="52">
        <v>219.05</v>
      </c>
      <c r="Q129" s="52">
        <v>141.4214</v>
      </c>
      <c r="R129" s="68" t="s">
        <v>849</v>
      </c>
      <c r="S129" s="68" t="s">
        <v>850</v>
      </c>
      <c r="T129" s="68" t="s">
        <v>851</v>
      </c>
      <c r="U129" s="68" t="s">
        <v>852</v>
      </c>
      <c r="V129" s="52">
        <v>1258.0</v>
      </c>
      <c r="W129" s="52">
        <v>59021.0</v>
      </c>
      <c r="X129" s="59"/>
      <c r="Y129" s="52">
        <v>52242.0</v>
      </c>
      <c r="Z129" s="52">
        <v>88.5143</v>
      </c>
      <c r="AA129" s="52">
        <v>6779.0</v>
      </c>
      <c r="AB129" s="51">
        <f t="shared" si="3"/>
        <v>0.1148574236</v>
      </c>
      <c r="AC129" s="52">
        <v>511.0</v>
      </c>
      <c r="AD129" s="51">
        <f t="shared" si="4"/>
        <v>0.008657935311</v>
      </c>
      <c r="AE129" s="52">
        <v>0.0</v>
      </c>
      <c r="AF129" s="52">
        <v>0.0</v>
      </c>
      <c r="AG129" s="52">
        <v>2866.296877382626</v>
      </c>
      <c r="AH129" s="52">
        <v>10470.0</v>
      </c>
      <c r="AI129" s="52">
        <v>60351.0</v>
      </c>
      <c r="AJ129" s="52">
        <v>2978.957183915001</v>
      </c>
      <c r="AK129" s="52">
        <v>64645.640248</v>
      </c>
      <c r="AL129" s="53">
        <v>3.0</v>
      </c>
      <c r="AM129" s="52">
        <v>201.0</v>
      </c>
      <c r="AN129" s="52">
        <v>67.0</v>
      </c>
      <c r="AO129" s="52">
        <v>2.5009</v>
      </c>
      <c r="AP129" s="52">
        <v>2500.9</v>
      </c>
      <c r="AQ129" s="52">
        <v>1369.1445</v>
      </c>
      <c r="AR129" s="52">
        <v>48.1</v>
      </c>
      <c r="AS129" s="52">
        <v>40.2</v>
      </c>
      <c r="AT129" s="52">
        <v>3126.0</v>
      </c>
      <c r="AU129" s="52">
        <v>1711.0</v>
      </c>
      <c r="AV129" s="52">
        <v>1626.0</v>
      </c>
      <c r="AW129" s="52">
        <v>890.0</v>
      </c>
      <c r="AX129" s="59"/>
      <c r="AY129" s="60" t="s">
        <v>862</v>
      </c>
      <c r="AZ129" s="59"/>
      <c r="BA129" s="59"/>
      <c r="BB129" s="59"/>
      <c r="BC129" s="52">
        <v>10.0</v>
      </c>
      <c r="BD129" s="52">
        <v>10.0</v>
      </c>
      <c r="BE129" s="52">
        <v>10000.0</v>
      </c>
      <c r="BF129" s="68" t="s">
        <v>370</v>
      </c>
      <c r="BG129" s="68" t="s">
        <v>388</v>
      </c>
      <c r="BH129" s="68" t="s">
        <v>487</v>
      </c>
      <c r="BI129" s="71" t="s">
        <v>373</v>
      </c>
    </row>
    <row r="130" ht="22.5" customHeight="1">
      <c r="A130" s="76" t="s">
        <v>863</v>
      </c>
      <c r="B130" s="69" t="s">
        <v>864</v>
      </c>
      <c r="C130" s="62" t="s">
        <v>50</v>
      </c>
      <c r="D130" s="62" t="s">
        <v>404</v>
      </c>
      <c r="E130" s="69" t="s">
        <v>865</v>
      </c>
      <c r="F130" s="69" t="s">
        <v>864</v>
      </c>
      <c r="G130" s="40">
        <v>160.0</v>
      </c>
      <c r="H130" s="40">
        <v>77834.4024</v>
      </c>
      <c r="I130" s="40">
        <v>58.356</v>
      </c>
      <c r="J130" s="40">
        <v>38.9311</v>
      </c>
      <c r="K130" s="40">
        <v>0.8525</v>
      </c>
      <c r="L130" s="40">
        <v>587.1445</v>
      </c>
      <c r="M130" s="64"/>
      <c r="N130" s="64"/>
      <c r="O130" s="40">
        <v>94.4464</v>
      </c>
      <c r="P130" s="40">
        <v>118.8034</v>
      </c>
      <c r="Q130" s="40">
        <v>136.4662</v>
      </c>
      <c r="R130" s="69" t="s">
        <v>849</v>
      </c>
      <c r="S130" s="69" t="s">
        <v>850</v>
      </c>
      <c r="T130" s="69" t="s">
        <v>851</v>
      </c>
      <c r="U130" s="69" t="s">
        <v>852</v>
      </c>
      <c r="V130" s="40">
        <v>1500.0</v>
      </c>
      <c r="W130" s="40">
        <v>21067.0</v>
      </c>
      <c r="X130" s="64"/>
      <c r="Y130" s="40">
        <v>6750.0</v>
      </c>
      <c r="Z130" s="40">
        <v>32.0406</v>
      </c>
      <c r="AA130" s="40">
        <v>14317.0</v>
      </c>
      <c r="AB130" s="37">
        <f t="shared" si="3"/>
        <v>0.6795936773</v>
      </c>
      <c r="AC130" s="40">
        <v>1207.0</v>
      </c>
      <c r="AD130" s="37">
        <f t="shared" si="4"/>
        <v>0.05729339726</v>
      </c>
      <c r="AE130" s="40">
        <v>0.0</v>
      </c>
      <c r="AF130" s="40">
        <v>0.0</v>
      </c>
      <c r="AG130" s="40">
        <v>11452.99050647933</v>
      </c>
      <c r="AH130" s="40">
        <v>60021.0</v>
      </c>
      <c r="AI130" s="40">
        <v>61441.0</v>
      </c>
      <c r="AJ130" s="40">
        <v>12963.86029483883</v>
      </c>
      <c r="AK130" s="40">
        <v>71210.532808</v>
      </c>
      <c r="AL130" s="41">
        <v>3.0</v>
      </c>
      <c r="AM130" s="40">
        <v>746.0</v>
      </c>
      <c r="AN130" s="40">
        <v>248.67</v>
      </c>
      <c r="AO130" s="40">
        <v>2.5002</v>
      </c>
      <c r="AP130" s="40">
        <v>2500.2</v>
      </c>
      <c r="AQ130" s="40">
        <v>1369.1445</v>
      </c>
      <c r="AR130" s="40">
        <v>41.9</v>
      </c>
      <c r="AS130" s="40">
        <v>40.8</v>
      </c>
      <c r="AT130" s="40">
        <v>3125.0</v>
      </c>
      <c r="AU130" s="40">
        <v>1711.0</v>
      </c>
      <c r="AV130" s="40">
        <v>1625.0</v>
      </c>
      <c r="AW130" s="40">
        <v>890.0</v>
      </c>
      <c r="AX130" s="64"/>
      <c r="AY130" s="66" t="s">
        <v>866</v>
      </c>
      <c r="AZ130" s="64"/>
      <c r="BA130" s="62" t="s">
        <v>867</v>
      </c>
      <c r="BB130" s="64"/>
      <c r="BC130" s="40">
        <v>10.0</v>
      </c>
      <c r="BD130" s="40">
        <v>10.0</v>
      </c>
      <c r="BE130" s="40">
        <v>10000.0</v>
      </c>
      <c r="BF130" s="69" t="s">
        <v>370</v>
      </c>
      <c r="BG130" s="69" t="s">
        <v>388</v>
      </c>
      <c r="BH130" s="69" t="s">
        <v>487</v>
      </c>
      <c r="BI130" s="70" t="s">
        <v>373</v>
      </c>
    </row>
    <row r="131" ht="22.5" customHeight="1">
      <c r="A131" s="75" t="s">
        <v>868</v>
      </c>
      <c r="B131" s="68" t="s">
        <v>869</v>
      </c>
      <c r="C131" s="58" t="s">
        <v>50</v>
      </c>
      <c r="D131" s="58" t="s">
        <v>383</v>
      </c>
      <c r="E131" s="68" t="s">
        <v>870</v>
      </c>
      <c r="F131" s="68" t="s">
        <v>869</v>
      </c>
      <c r="G131" s="52">
        <v>130.0</v>
      </c>
      <c r="H131" s="52">
        <v>166349.3207</v>
      </c>
      <c r="I131" s="52">
        <v>18.7625</v>
      </c>
      <c r="J131" s="52">
        <v>4.6771</v>
      </c>
      <c r="K131" s="52">
        <v>0.805</v>
      </c>
      <c r="L131" s="52">
        <v>108.8789</v>
      </c>
      <c r="M131" s="59"/>
      <c r="N131" s="59"/>
      <c r="O131" s="52">
        <v>160.46</v>
      </c>
      <c r="P131" s="52">
        <v>161.05</v>
      </c>
      <c r="Q131" s="52">
        <v>85.3362</v>
      </c>
      <c r="R131" s="68" t="s">
        <v>849</v>
      </c>
      <c r="S131" s="68" t="s">
        <v>850</v>
      </c>
      <c r="T131" s="68" t="s">
        <v>851</v>
      </c>
      <c r="U131" s="68" t="s">
        <v>852</v>
      </c>
      <c r="V131" s="52">
        <v>400.0</v>
      </c>
      <c r="W131" s="52">
        <v>20399.0</v>
      </c>
      <c r="X131" s="59"/>
      <c r="Y131" s="52">
        <v>20399.0</v>
      </c>
      <c r="Z131" s="52">
        <v>100.0</v>
      </c>
      <c r="AA131" s="52">
        <v>0.0</v>
      </c>
      <c r="AB131" s="51">
        <f t="shared" si="3"/>
        <v>0</v>
      </c>
      <c r="AC131" s="52">
        <v>0.0</v>
      </c>
      <c r="AD131" s="51">
        <f t="shared" si="4"/>
        <v>0</v>
      </c>
      <c r="AE131" s="52">
        <v>0.0</v>
      </c>
      <c r="AF131" s="52">
        <v>0.0</v>
      </c>
      <c r="AG131" s="52">
        <v>204.7658218540124</v>
      </c>
      <c r="AH131" s="52">
        <v>376.0</v>
      </c>
      <c r="AI131" s="52">
        <v>5318.0</v>
      </c>
      <c r="AJ131" s="52">
        <v>310.8678591206439</v>
      </c>
      <c r="AK131" s="52">
        <v>5527.599986</v>
      </c>
      <c r="AL131" s="53">
        <v>6.0</v>
      </c>
      <c r="AM131" s="52">
        <v>147.0</v>
      </c>
      <c r="AN131" s="52">
        <v>24.5</v>
      </c>
      <c r="AO131" s="52">
        <v>2.2693</v>
      </c>
      <c r="AP131" s="52">
        <v>2269.3</v>
      </c>
      <c r="AQ131" s="52">
        <v>908.1875</v>
      </c>
      <c r="AR131" s="52">
        <v>49.4</v>
      </c>
      <c r="AS131" s="52">
        <v>45.6</v>
      </c>
      <c r="AT131" s="52">
        <v>2837.0</v>
      </c>
      <c r="AU131" s="52">
        <v>1135.0</v>
      </c>
      <c r="AV131" s="52">
        <v>1475.0</v>
      </c>
      <c r="AW131" s="52">
        <v>590.0</v>
      </c>
      <c r="AX131" s="59"/>
      <c r="AY131" s="60" t="s">
        <v>871</v>
      </c>
      <c r="AZ131" s="59"/>
      <c r="BA131" s="59"/>
      <c r="BB131" s="59"/>
      <c r="BC131" s="52">
        <v>10.0</v>
      </c>
      <c r="BD131" s="52">
        <v>10.0</v>
      </c>
      <c r="BE131" s="52">
        <v>10000.0</v>
      </c>
      <c r="BF131" s="68" t="s">
        <v>370</v>
      </c>
      <c r="BG131" s="68" t="s">
        <v>388</v>
      </c>
      <c r="BH131" s="68" t="s">
        <v>487</v>
      </c>
      <c r="BI131" s="71" t="s">
        <v>373</v>
      </c>
    </row>
    <row r="132" ht="22.5" customHeight="1">
      <c r="A132" s="76" t="s">
        <v>872</v>
      </c>
      <c r="B132" s="69" t="s">
        <v>873</v>
      </c>
      <c r="C132" s="62" t="s">
        <v>50</v>
      </c>
      <c r="D132" s="62" t="s">
        <v>391</v>
      </c>
      <c r="E132" s="69" t="s">
        <v>874</v>
      </c>
      <c r="F132" s="69" t="s">
        <v>873</v>
      </c>
      <c r="G132" s="40">
        <v>130.0</v>
      </c>
      <c r="H132" s="40">
        <v>159799.7561</v>
      </c>
      <c r="I132" s="40">
        <v>14.8852</v>
      </c>
      <c r="J132" s="40">
        <v>2.4444</v>
      </c>
      <c r="K132" s="40">
        <v>0.555</v>
      </c>
      <c r="L132" s="40">
        <v>20.7812</v>
      </c>
      <c r="M132" s="64"/>
      <c r="N132" s="64"/>
      <c r="O132" s="40">
        <v>147.71</v>
      </c>
      <c r="P132" s="40">
        <v>152.58</v>
      </c>
      <c r="Q132" s="40">
        <v>60.036</v>
      </c>
      <c r="R132" s="69" t="s">
        <v>849</v>
      </c>
      <c r="S132" s="69" t="s">
        <v>850</v>
      </c>
      <c r="T132" s="69" t="s">
        <v>851</v>
      </c>
      <c r="U132" s="69" t="s">
        <v>852</v>
      </c>
      <c r="V132" s="40">
        <v>400.0</v>
      </c>
      <c r="W132" s="40">
        <v>19499.0</v>
      </c>
      <c r="X132" s="64"/>
      <c r="Y132" s="40">
        <v>19499.0</v>
      </c>
      <c r="Z132" s="40">
        <v>100.0</v>
      </c>
      <c r="AA132" s="40">
        <v>0.0</v>
      </c>
      <c r="AB132" s="37">
        <f t="shared" si="3"/>
        <v>0</v>
      </c>
      <c r="AC132" s="40">
        <v>0.0</v>
      </c>
      <c r="AD132" s="37">
        <f t="shared" si="4"/>
        <v>0</v>
      </c>
      <c r="AE132" s="40">
        <v>0.0</v>
      </c>
      <c r="AF132" s="40">
        <v>0.0</v>
      </c>
      <c r="AG132" s="40">
        <v>142.9183035027437</v>
      </c>
      <c r="AH132" s="40">
        <v>225.0</v>
      </c>
      <c r="AI132" s="40">
        <v>5115.0</v>
      </c>
      <c r="AJ132" s="40">
        <v>202.8336798017333</v>
      </c>
      <c r="AK132" s="40">
        <v>5160.481021</v>
      </c>
      <c r="AL132" s="41">
        <v>6.0</v>
      </c>
      <c r="AM132" s="40">
        <v>139.0</v>
      </c>
      <c r="AN132" s="40">
        <v>23.17</v>
      </c>
      <c r="AO132" s="40">
        <v>2.1344</v>
      </c>
      <c r="AP132" s="40">
        <v>2134.4</v>
      </c>
      <c r="AQ132" s="40">
        <v>914.8203</v>
      </c>
      <c r="AR132" s="40">
        <v>40.3</v>
      </c>
      <c r="AS132" s="40">
        <v>47.3</v>
      </c>
      <c r="AT132" s="40">
        <v>2668.0</v>
      </c>
      <c r="AU132" s="40">
        <v>1144.0</v>
      </c>
      <c r="AV132" s="40">
        <v>1387.0</v>
      </c>
      <c r="AW132" s="40">
        <v>595.0</v>
      </c>
      <c r="AX132" s="64"/>
      <c r="AY132" s="66" t="s">
        <v>875</v>
      </c>
      <c r="AZ132" s="64"/>
      <c r="BA132" s="64"/>
      <c r="BB132" s="64"/>
      <c r="BC132" s="40">
        <v>10.0</v>
      </c>
      <c r="BD132" s="40">
        <v>10.0</v>
      </c>
      <c r="BE132" s="40">
        <v>10000.0</v>
      </c>
      <c r="BF132" s="69" t="s">
        <v>370</v>
      </c>
      <c r="BG132" s="69" t="s">
        <v>388</v>
      </c>
      <c r="BH132" s="69" t="s">
        <v>487</v>
      </c>
      <c r="BI132" s="70" t="s">
        <v>373</v>
      </c>
    </row>
    <row r="133" ht="22.5" customHeight="1">
      <c r="A133" s="75" t="s">
        <v>876</v>
      </c>
      <c r="B133" s="68" t="s">
        <v>877</v>
      </c>
      <c r="C133" s="58" t="s">
        <v>50</v>
      </c>
      <c r="D133" s="58" t="s">
        <v>398</v>
      </c>
      <c r="E133" s="68" t="s">
        <v>878</v>
      </c>
      <c r="F133" s="68" t="s">
        <v>877</v>
      </c>
      <c r="G133" s="52">
        <v>100.0</v>
      </c>
      <c r="H133" s="52">
        <v>483541.1216</v>
      </c>
      <c r="I133" s="52">
        <v>7.8304</v>
      </c>
      <c r="J133" s="52">
        <v>0.904</v>
      </c>
      <c r="K133" s="52">
        <v>0.5794</v>
      </c>
      <c r="L133" s="52">
        <v>20.3047</v>
      </c>
      <c r="M133" s="59"/>
      <c r="N133" s="59"/>
      <c r="O133" s="52">
        <v>147.71</v>
      </c>
      <c r="P133" s="52">
        <v>151.365</v>
      </c>
      <c r="Q133" s="52">
        <v>66.782</v>
      </c>
      <c r="R133" s="68" t="s">
        <v>849</v>
      </c>
      <c r="S133" s="68" t="s">
        <v>850</v>
      </c>
      <c r="T133" s="68" t="s">
        <v>851</v>
      </c>
      <c r="U133" s="68" t="s">
        <v>852</v>
      </c>
      <c r="V133" s="52">
        <v>400.0</v>
      </c>
      <c r="W133" s="52">
        <v>59999.0</v>
      </c>
      <c r="X133" s="59"/>
      <c r="Y133" s="52">
        <v>59999.0</v>
      </c>
      <c r="Z133" s="52">
        <v>100.0</v>
      </c>
      <c r="AA133" s="52">
        <v>0.0</v>
      </c>
      <c r="AB133" s="51">
        <f t="shared" si="3"/>
        <v>0</v>
      </c>
      <c r="AC133" s="52">
        <v>0.0</v>
      </c>
      <c r="AD133" s="51">
        <f t="shared" si="4"/>
        <v>0</v>
      </c>
      <c r="AE133" s="52">
        <v>0.0</v>
      </c>
      <c r="AF133" s="52">
        <v>0.0</v>
      </c>
      <c r="AG133" s="52">
        <v>126.1627360456008</v>
      </c>
      <c r="AH133" s="52">
        <v>163.0</v>
      </c>
      <c r="AI133" s="52">
        <v>5164.0</v>
      </c>
      <c r="AJ133" s="52">
        <v>173.3104794400563</v>
      </c>
      <c r="AK133" s="52">
        <v>5201.26709</v>
      </c>
      <c r="AL133" s="53">
        <v>6.0</v>
      </c>
      <c r="AM133" s="52">
        <v>104.0</v>
      </c>
      <c r="AN133" s="52">
        <v>17.33</v>
      </c>
      <c r="AO133" s="52">
        <v>2.169</v>
      </c>
      <c r="AP133" s="52">
        <v>2169.0</v>
      </c>
      <c r="AQ133" s="52">
        <v>914.8203</v>
      </c>
      <c r="AR133" s="52">
        <v>43.4</v>
      </c>
      <c r="AS133" s="52">
        <v>49.2</v>
      </c>
      <c r="AT133" s="52">
        <v>2711.0</v>
      </c>
      <c r="AU133" s="52">
        <v>1144.0</v>
      </c>
      <c r="AV133" s="52">
        <v>1410.0</v>
      </c>
      <c r="AW133" s="52">
        <v>595.0</v>
      </c>
      <c r="AX133" s="59"/>
      <c r="AY133" s="60" t="s">
        <v>879</v>
      </c>
      <c r="AZ133" s="59"/>
      <c r="BA133" s="59"/>
      <c r="BB133" s="59"/>
      <c r="BC133" s="52">
        <v>10.0</v>
      </c>
      <c r="BD133" s="52">
        <v>10.0</v>
      </c>
      <c r="BE133" s="52">
        <v>10000.0</v>
      </c>
      <c r="BF133" s="68" t="s">
        <v>370</v>
      </c>
      <c r="BG133" s="68" t="s">
        <v>388</v>
      </c>
      <c r="BH133" s="68" t="s">
        <v>487</v>
      </c>
      <c r="BI133" s="71" t="s">
        <v>373</v>
      </c>
    </row>
    <row r="134" ht="22.5" customHeight="1">
      <c r="A134" s="76" t="s">
        <v>880</v>
      </c>
      <c r="B134" s="69" t="s">
        <v>881</v>
      </c>
      <c r="C134" s="62" t="s">
        <v>50</v>
      </c>
      <c r="D134" s="62" t="s">
        <v>404</v>
      </c>
      <c r="E134" s="69" t="s">
        <v>882</v>
      </c>
      <c r="F134" s="69" t="s">
        <v>881</v>
      </c>
      <c r="G134" s="40">
        <v>160.0</v>
      </c>
      <c r="H134" s="40">
        <v>224641.0286</v>
      </c>
      <c r="I134" s="40">
        <v>37.5242</v>
      </c>
      <c r="J134" s="40">
        <v>13.7282</v>
      </c>
      <c r="K134" s="40">
        <v>0.8556</v>
      </c>
      <c r="L134" s="40">
        <v>52.3164</v>
      </c>
      <c r="M134" s="64"/>
      <c r="N134" s="64"/>
      <c r="O134" s="40">
        <v>200.9</v>
      </c>
      <c r="P134" s="40">
        <v>207.905</v>
      </c>
      <c r="Q134" s="40">
        <v>61.4484</v>
      </c>
      <c r="R134" s="69" t="s">
        <v>849</v>
      </c>
      <c r="S134" s="69" t="s">
        <v>850</v>
      </c>
      <c r="T134" s="69" t="s">
        <v>851</v>
      </c>
      <c r="U134" s="69" t="s">
        <v>852</v>
      </c>
      <c r="V134" s="40">
        <v>400.0</v>
      </c>
      <c r="W134" s="40">
        <v>27299.0</v>
      </c>
      <c r="X134" s="64"/>
      <c r="Y134" s="40">
        <v>27299.0</v>
      </c>
      <c r="Z134" s="40">
        <v>100.0</v>
      </c>
      <c r="AA134" s="40">
        <v>0.0</v>
      </c>
      <c r="AB134" s="37">
        <f t="shared" si="3"/>
        <v>0</v>
      </c>
      <c r="AC134" s="40">
        <v>0.0</v>
      </c>
      <c r="AD134" s="37">
        <f t="shared" si="4"/>
        <v>0</v>
      </c>
      <c r="AE134" s="40">
        <v>0.0</v>
      </c>
      <c r="AF134" s="40">
        <v>0.0</v>
      </c>
      <c r="AG134" s="40">
        <v>181.1791274405656</v>
      </c>
      <c r="AH134" s="40">
        <v>366.0</v>
      </c>
      <c r="AI134" s="40">
        <v>5288.0</v>
      </c>
      <c r="AJ134" s="40">
        <v>239.0258317946446</v>
      </c>
      <c r="AK134" s="40">
        <v>5342.904906</v>
      </c>
      <c r="AL134" s="41">
        <v>6.0</v>
      </c>
      <c r="AM134" s="40">
        <v>181.0</v>
      </c>
      <c r="AN134" s="40">
        <v>30.17</v>
      </c>
      <c r="AO134" s="40">
        <v>2.4051</v>
      </c>
      <c r="AP134" s="40">
        <v>2405.1</v>
      </c>
      <c r="AQ134" s="40">
        <v>950.125</v>
      </c>
      <c r="AR134" s="40">
        <v>54.9</v>
      </c>
      <c r="AS134" s="40">
        <v>49.9</v>
      </c>
      <c r="AT134" s="40">
        <v>3006.0</v>
      </c>
      <c r="AU134" s="40">
        <v>1188.0</v>
      </c>
      <c r="AV134" s="40">
        <v>1563.0</v>
      </c>
      <c r="AW134" s="40">
        <v>618.0</v>
      </c>
      <c r="AX134" s="64"/>
      <c r="AY134" s="66" t="s">
        <v>883</v>
      </c>
      <c r="AZ134" s="64"/>
      <c r="BA134" s="64"/>
      <c r="BB134" s="64"/>
      <c r="BC134" s="40">
        <v>10.0</v>
      </c>
      <c r="BD134" s="40">
        <v>10.0</v>
      </c>
      <c r="BE134" s="40">
        <v>10000.0</v>
      </c>
      <c r="BF134" s="69" t="s">
        <v>370</v>
      </c>
      <c r="BG134" s="69" t="s">
        <v>388</v>
      </c>
      <c r="BH134" s="69" t="s">
        <v>487</v>
      </c>
      <c r="BI134" s="70" t="s">
        <v>373</v>
      </c>
    </row>
    <row r="135" ht="22.5" customHeight="1">
      <c r="A135" s="75" t="s">
        <v>884</v>
      </c>
      <c r="B135" s="68" t="s">
        <v>885</v>
      </c>
      <c r="C135" s="58" t="s">
        <v>50</v>
      </c>
      <c r="D135" s="58" t="s">
        <v>383</v>
      </c>
      <c r="E135" s="68" t="s">
        <v>886</v>
      </c>
      <c r="F135" s="68" t="s">
        <v>885</v>
      </c>
      <c r="G135" s="52">
        <v>130.0</v>
      </c>
      <c r="H135" s="52">
        <v>166008.5392</v>
      </c>
      <c r="I135" s="52">
        <v>4.7508</v>
      </c>
      <c r="J135" s="52">
        <v>0.7478</v>
      </c>
      <c r="K135" s="52">
        <v>0.5612</v>
      </c>
      <c r="L135" s="52">
        <v>8.7539</v>
      </c>
      <c r="M135" s="59"/>
      <c r="N135" s="59"/>
      <c r="O135" s="52">
        <v>101.96</v>
      </c>
      <c r="P135" s="52">
        <v>110.424</v>
      </c>
      <c r="Q135" s="52">
        <v>23.6188</v>
      </c>
      <c r="R135" s="68" t="s">
        <v>849</v>
      </c>
      <c r="S135" s="68" t="s">
        <v>850</v>
      </c>
      <c r="T135" s="68" t="s">
        <v>851</v>
      </c>
      <c r="U135" s="68" t="s">
        <v>852</v>
      </c>
      <c r="V135" s="52">
        <v>400.0</v>
      </c>
      <c r="W135" s="52">
        <v>20399.0</v>
      </c>
      <c r="X135" s="59"/>
      <c r="Y135" s="52">
        <v>20399.0</v>
      </c>
      <c r="Z135" s="52">
        <v>100.0</v>
      </c>
      <c r="AA135" s="52">
        <v>0.0</v>
      </c>
      <c r="AB135" s="51">
        <f t="shared" si="3"/>
        <v>0</v>
      </c>
      <c r="AC135" s="52">
        <v>0.0</v>
      </c>
      <c r="AD135" s="51">
        <f t="shared" si="4"/>
        <v>0</v>
      </c>
      <c r="AE135" s="52">
        <v>0.0</v>
      </c>
      <c r="AF135" s="52">
        <v>0.0</v>
      </c>
      <c r="AG135" s="52">
        <v>129.541644198245</v>
      </c>
      <c r="AH135" s="52">
        <v>166.0</v>
      </c>
      <c r="AI135" s="52">
        <v>3133.0</v>
      </c>
      <c r="AJ135" s="52">
        <v>189.9028306859153</v>
      </c>
      <c r="AK135" s="52">
        <v>3197.581051</v>
      </c>
      <c r="AL135" s="53">
        <v>9.0</v>
      </c>
      <c r="AM135" s="52">
        <v>132.0</v>
      </c>
      <c r="AN135" s="52">
        <v>14.67</v>
      </c>
      <c r="AO135" s="52">
        <v>1.7136</v>
      </c>
      <c r="AP135" s="52">
        <v>1713.6</v>
      </c>
      <c r="AQ135" s="52">
        <v>937.2773</v>
      </c>
      <c r="AR135" s="52">
        <v>49.8</v>
      </c>
      <c r="AS135" s="52">
        <v>52.6</v>
      </c>
      <c r="AT135" s="52">
        <v>2142.0</v>
      </c>
      <c r="AU135" s="52">
        <v>1172.0</v>
      </c>
      <c r="AV135" s="52">
        <v>1114.0</v>
      </c>
      <c r="AW135" s="52">
        <v>609.0</v>
      </c>
      <c r="AX135" s="59"/>
      <c r="AY135" s="60" t="s">
        <v>887</v>
      </c>
      <c r="AZ135" s="59"/>
      <c r="BA135" s="59"/>
      <c r="BB135" s="59"/>
      <c r="BC135" s="52">
        <v>10.0</v>
      </c>
      <c r="BD135" s="52">
        <v>10.0</v>
      </c>
      <c r="BE135" s="52">
        <v>10000.0</v>
      </c>
      <c r="BF135" s="68" t="s">
        <v>370</v>
      </c>
      <c r="BG135" s="68" t="s">
        <v>388</v>
      </c>
      <c r="BH135" s="68" t="s">
        <v>487</v>
      </c>
      <c r="BI135" s="71" t="s">
        <v>373</v>
      </c>
    </row>
    <row r="136" ht="22.5" customHeight="1">
      <c r="A136" s="76" t="s">
        <v>888</v>
      </c>
      <c r="B136" s="69" t="s">
        <v>889</v>
      </c>
      <c r="C136" s="62" t="s">
        <v>50</v>
      </c>
      <c r="D136" s="62" t="s">
        <v>391</v>
      </c>
      <c r="E136" s="69" t="s">
        <v>890</v>
      </c>
      <c r="F136" s="69" t="s">
        <v>889</v>
      </c>
      <c r="G136" s="40">
        <v>130.0</v>
      </c>
      <c r="H136" s="40">
        <v>159856.0976</v>
      </c>
      <c r="I136" s="40">
        <v>4.5195</v>
      </c>
      <c r="J136" s="40">
        <v>0.7782</v>
      </c>
      <c r="K136" s="40">
        <v>0.7844</v>
      </c>
      <c r="L136" s="40">
        <v>7.0039</v>
      </c>
      <c r="M136" s="64"/>
      <c r="N136" s="64"/>
      <c r="O136" s="40">
        <v>103.28</v>
      </c>
      <c r="P136" s="40">
        <v>110.424</v>
      </c>
      <c r="Q136" s="40">
        <v>282.8427</v>
      </c>
      <c r="R136" s="69" t="s">
        <v>849</v>
      </c>
      <c r="S136" s="69" t="s">
        <v>850</v>
      </c>
      <c r="T136" s="69" t="s">
        <v>851</v>
      </c>
      <c r="U136" s="69" t="s">
        <v>852</v>
      </c>
      <c r="V136" s="40">
        <v>400.0</v>
      </c>
      <c r="W136" s="40">
        <v>19499.0</v>
      </c>
      <c r="X136" s="64"/>
      <c r="Y136" s="40">
        <v>19499.0</v>
      </c>
      <c r="Z136" s="40">
        <v>100.0</v>
      </c>
      <c r="AA136" s="40">
        <v>0.0</v>
      </c>
      <c r="AB136" s="37">
        <f t="shared" si="3"/>
        <v>0</v>
      </c>
      <c r="AC136" s="40">
        <v>0.0</v>
      </c>
      <c r="AD136" s="37">
        <f t="shared" si="4"/>
        <v>0</v>
      </c>
      <c r="AE136" s="40">
        <v>0.0</v>
      </c>
      <c r="AF136" s="40">
        <v>0.0</v>
      </c>
      <c r="AG136" s="40">
        <v>150.2263192984256</v>
      </c>
      <c r="AH136" s="40">
        <v>181.0999999999985</v>
      </c>
      <c r="AI136" s="40">
        <v>8135.999999999999</v>
      </c>
      <c r="AJ136" s="40">
        <v>212.4619936012117</v>
      </c>
      <c r="AK136" s="40">
        <v>8165.3079</v>
      </c>
      <c r="AL136" s="41">
        <v>9.0</v>
      </c>
      <c r="AM136" s="40">
        <v>134.0</v>
      </c>
      <c r="AN136" s="40">
        <v>14.89</v>
      </c>
      <c r="AO136" s="40">
        <v>1.8541</v>
      </c>
      <c r="AP136" s="40">
        <v>1854.1</v>
      </c>
      <c r="AQ136" s="40">
        <v>934.2227</v>
      </c>
      <c r="AR136" s="40">
        <v>46.3</v>
      </c>
      <c r="AS136" s="40">
        <v>52.5</v>
      </c>
      <c r="AT136" s="40">
        <v>2318.0</v>
      </c>
      <c r="AU136" s="40">
        <v>1168.0</v>
      </c>
      <c r="AV136" s="40">
        <v>1205.0</v>
      </c>
      <c r="AW136" s="40">
        <v>607.0</v>
      </c>
      <c r="AX136" s="64"/>
      <c r="AY136" s="66" t="s">
        <v>891</v>
      </c>
      <c r="AZ136" s="64"/>
      <c r="BA136" s="64"/>
      <c r="BB136" s="64"/>
      <c r="BC136" s="40">
        <v>10.0</v>
      </c>
      <c r="BD136" s="40">
        <v>10.0</v>
      </c>
      <c r="BE136" s="40">
        <v>10000.0</v>
      </c>
      <c r="BF136" s="69" t="s">
        <v>370</v>
      </c>
      <c r="BG136" s="69" t="s">
        <v>388</v>
      </c>
      <c r="BH136" s="69" t="s">
        <v>487</v>
      </c>
      <c r="BI136" s="70" t="s">
        <v>373</v>
      </c>
    </row>
    <row r="137" ht="22.5" customHeight="1">
      <c r="A137" s="75" t="s">
        <v>892</v>
      </c>
      <c r="B137" s="68" t="s">
        <v>893</v>
      </c>
      <c r="C137" s="58" t="s">
        <v>50</v>
      </c>
      <c r="D137" s="58" t="s">
        <v>398</v>
      </c>
      <c r="E137" s="68" t="s">
        <v>894</v>
      </c>
      <c r="F137" s="68" t="s">
        <v>893</v>
      </c>
      <c r="G137" s="52">
        <v>100.0</v>
      </c>
      <c r="H137" s="52">
        <v>483222.7778</v>
      </c>
      <c r="I137" s="52">
        <v>2.7771</v>
      </c>
      <c r="J137" s="52">
        <v>0.8764</v>
      </c>
      <c r="K137" s="52">
        <v>0.8369</v>
      </c>
      <c r="L137" s="52">
        <v>9.832</v>
      </c>
      <c r="M137" s="59"/>
      <c r="N137" s="59"/>
      <c r="O137" s="52">
        <v>106.28</v>
      </c>
      <c r="P137" s="52">
        <v>110.156</v>
      </c>
      <c r="Q137" s="52">
        <v>282.8427</v>
      </c>
      <c r="R137" s="68" t="s">
        <v>849</v>
      </c>
      <c r="S137" s="68" t="s">
        <v>850</v>
      </c>
      <c r="T137" s="68" t="s">
        <v>851</v>
      </c>
      <c r="U137" s="68" t="s">
        <v>852</v>
      </c>
      <c r="V137" s="52">
        <v>400.0</v>
      </c>
      <c r="W137" s="52">
        <v>59999.0</v>
      </c>
      <c r="X137" s="59"/>
      <c r="Y137" s="52">
        <v>59999.0</v>
      </c>
      <c r="Z137" s="52">
        <v>100.0</v>
      </c>
      <c r="AA137" s="52">
        <v>0.0</v>
      </c>
      <c r="AB137" s="51">
        <f t="shared" si="3"/>
        <v>0</v>
      </c>
      <c r="AC137" s="52">
        <v>0.0</v>
      </c>
      <c r="AD137" s="51">
        <f t="shared" si="4"/>
        <v>0</v>
      </c>
      <c r="AE137" s="52">
        <v>0.0</v>
      </c>
      <c r="AF137" s="52">
        <v>0.0</v>
      </c>
      <c r="AG137" s="52">
        <v>127.4275071251188</v>
      </c>
      <c r="AH137" s="52">
        <v>157.0</v>
      </c>
      <c r="AI137" s="52">
        <v>5297.0</v>
      </c>
      <c r="AJ137" s="52">
        <v>173.4127864393085</v>
      </c>
      <c r="AK137" s="52">
        <v>5359.226869</v>
      </c>
      <c r="AL137" s="53">
        <v>9.0</v>
      </c>
      <c r="AM137" s="52">
        <v>109.0</v>
      </c>
      <c r="AN137" s="52">
        <v>12.11</v>
      </c>
      <c r="AO137" s="52">
        <v>1.7136</v>
      </c>
      <c r="AP137" s="52">
        <v>1713.6</v>
      </c>
      <c r="AQ137" s="52">
        <v>954.0547</v>
      </c>
      <c r="AR137" s="52">
        <v>42.6</v>
      </c>
      <c r="AS137" s="52">
        <v>53.1</v>
      </c>
      <c r="AT137" s="52">
        <v>2142.0</v>
      </c>
      <c r="AU137" s="52">
        <v>1193.0</v>
      </c>
      <c r="AV137" s="52">
        <v>1114.0</v>
      </c>
      <c r="AW137" s="52">
        <v>620.0</v>
      </c>
      <c r="AX137" s="59"/>
      <c r="AY137" s="60" t="s">
        <v>895</v>
      </c>
      <c r="AZ137" s="59"/>
      <c r="BA137" s="59"/>
      <c r="BB137" s="59"/>
      <c r="BC137" s="52">
        <v>10.0</v>
      </c>
      <c r="BD137" s="52">
        <v>10.0</v>
      </c>
      <c r="BE137" s="52">
        <v>10000.0</v>
      </c>
      <c r="BF137" s="68" t="s">
        <v>370</v>
      </c>
      <c r="BG137" s="68" t="s">
        <v>388</v>
      </c>
      <c r="BH137" s="68" t="s">
        <v>487</v>
      </c>
      <c r="BI137" s="71" t="s">
        <v>373</v>
      </c>
    </row>
    <row r="138" ht="22.5" customHeight="1">
      <c r="A138" s="72" t="s">
        <v>888</v>
      </c>
      <c r="B138" s="69" t="s">
        <v>896</v>
      </c>
      <c r="C138" s="62" t="s">
        <v>50</v>
      </c>
      <c r="D138" s="62" t="s">
        <v>391</v>
      </c>
      <c r="E138" s="69" t="s">
        <v>897</v>
      </c>
      <c r="F138" s="69" t="s">
        <v>896</v>
      </c>
      <c r="G138" s="40">
        <v>130.0</v>
      </c>
      <c r="H138" s="40">
        <v>159811.0244</v>
      </c>
      <c r="I138" s="40">
        <v>3.8688</v>
      </c>
      <c r="J138" s="40">
        <v>0.7972</v>
      </c>
      <c r="K138" s="40">
        <v>0.9325</v>
      </c>
      <c r="L138" s="40">
        <v>8.9609</v>
      </c>
      <c r="M138" s="64"/>
      <c r="N138" s="64"/>
      <c r="O138" s="40">
        <v>102.74</v>
      </c>
      <c r="P138" s="40">
        <v>113.836</v>
      </c>
      <c r="Q138" s="40">
        <v>26.9735</v>
      </c>
      <c r="R138" s="69" t="s">
        <v>849</v>
      </c>
      <c r="S138" s="69" t="s">
        <v>850</v>
      </c>
      <c r="T138" s="69" t="s">
        <v>851</v>
      </c>
      <c r="U138" s="69" t="s">
        <v>852</v>
      </c>
      <c r="V138" s="40">
        <v>400.0</v>
      </c>
      <c r="W138" s="40">
        <v>19499.0</v>
      </c>
      <c r="X138" s="64"/>
      <c r="Y138" s="40">
        <v>19498.0</v>
      </c>
      <c r="Z138" s="40">
        <v>99.9949</v>
      </c>
      <c r="AA138" s="40">
        <v>1.0</v>
      </c>
      <c r="AB138" s="37">
        <f t="shared" si="3"/>
        <v>0.00005128468127</v>
      </c>
      <c r="AC138" s="40">
        <v>0.0</v>
      </c>
      <c r="AD138" s="37">
        <f t="shared" si="4"/>
        <v>0</v>
      </c>
      <c r="AE138" s="40">
        <v>0.0</v>
      </c>
      <c r="AF138" s="40">
        <v>0.0</v>
      </c>
      <c r="AG138" s="40">
        <v>130.9811272372942</v>
      </c>
      <c r="AH138" s="40">
        <v>165.0</v>
      </c>
      <c r="AI138" s="40">
        <v>5154.0</v>
      </c>
      <c r="AJ138" s="40">
        <v>192.7266189665118</v>
      </c>
      <c r="AK138" s="40">
        <v>5214.181502</v>
      </c>
      <c r="AL138" s="41">
        <v>9.0</v>
      </c>
      <c r="AM138" s="40">
        <v>133.0</v>
      </c>
      <c r="AN138" s="40">
        <v>14.78</v>
      </c>
      <c r="AO138" s="40">
        <v>1.8236</v>
      </c>
      <c r="AP138" s="40">
        <v>1823.6</v>
      </c>
      <c r="AQ138" s="40">
        <v>935.543</v>
      </c>
      <c r="AR138" s="40">
        <v>42.0</v>
      </c>
      <c r="AS138" s="40">
        <v>54.2</v>
      </c>
      <c r="AT138" s="40">
        <v>2280.0</v>
      </c>
      <c r="AU138" s="40">
        <v>1169.0</v>
      </c>
      <c r="AV138" s="40">
        <v>1185.0</v>
      </c>
      <c r="AW138" s="40">
        <v>608.0</v>
      </c>
      <c r="AX138" s="64"/>
      <c r="AY138" s="66" t="s">
        <v>898</v>
      </c>
      <c r="AZ138" s="64"/>
      <c r="BA138" s="64"/>
      <c r="BB138" s="64"/>
      <c r="BC138" s="40">
        <v>10.0</v>
      </c>
      <c r="BD138" s="40">
        <v>10.0</v>
      </c>
      <c r="BE138" s="40">
        <v>10000.0</v>
      </c>
      <c r="BF138" s="69" t="s">
        <v>370</v>
      </c>
      <c r="BG138" s="69" t="s">
        <v>388</v>
      </c>
      <c r="BH138" s="69" t="s">
        <v>487</v>
      </c>
      <c r="BI138" s="70" t="s">
        <v>373</v>
      </c>
    </row>
    <row r="139" ht="22.5" customHeight="1">
      <c r="A139" s="75" t="s">
        <v>373</v>
      </c>
      <c r="B139" s="68" t="s">
        <v>899</v>
      </c>
      <c r="C139" s="58" t="s">
        <v>50</v>
      </c>
      <c r="D139" s="58" t="s">
        <v>383</v>
      </c>
      <c r="E139" s="68" t="s">
        <v>900</v>
      </c>
      <c r="F139" s="68" t="s">
        <v>899</v>
      </c>
      <c r="G139" s="52">
        <v>130.0</v>
      </c>
      <c r="H139" s="52">
        <v>165221.1419</v>
      </c>
      <c r="I139" s="52">
        <v>2.9267</v>
      </c>
      <c r="J139" s="52">
        <v>0.4802</v>
      </c>
      <c r="K139" s="52">
        <v>0.5425</v>
      </c>
      <c r="L139" s="52">
        <v>110.293</v>
      </c>
      <c r="M139" s="59"/>
      <c r="N139" s="59"/>
      <c r="O139" s="52">
        <v>104.64</v>
      </c>
      <c r="P139" s="52">
        <v>108.28</v>
      </c>
      <c r="Q139" s="52">
        <v>37.1234</v>
      </c>
      <c r="R139" s="68" t="s">
        <v>849</v>
      </c>
      <c r="S139" s="68" t="s">
        <v>850</v>
      </c>
      <c r="T139" s="68" t="s">
        <v>851</v>
      </c>
      <c r="U139" s="68" t="s">
        <v>852</v>
      </c>
      <c r="V139" s="52">
        <v>400.0</v>
      </c>
      <c r="W139" s="52">
        <v>20399.0</v>
      </c>
      <c r="X139" s="59"/>
      <c r="Y139" s="52">
        <v>20399.0</v>
      </c>
      <c r="Z139" s="52">
        <v>100.0</v>
      </c>
      <c r="AA139" s="52">
        <v>0.0</v>
      </c>
      <c r="AB139" s="51">
        <f t="shared" si="3"/>
        <v>0</v>
      </c>
      <c r="AC139" s="52">
        <v>0.0</v>
      </c>
      <c r="AD139" s="51">
        <f t="shared" si="4"/>
        <v>0</v>
      </c>
      <c r="AE139" s="52">
        <v>0.0</v>
      </c>
      <c r="AF139" s="52">
        <v>0.0</v>
      </c>
      <c r="AG139" s="52">
        <v>123.3555076229227</v>
      </c>
      <c r="AH139" s="52">
        <v>155.0</v>
      </c>
      <c r="AI139" s="52">
        <v>5119.0</v>
      </c>
      <c r="AJ139" s="52">
        <v>183.9634326450812</v>
      </c>
      <c r="AK139" s="52">
        <v>5165.445537</v>
      </c>
      <c r="AL139" s="53">
        <v>9.0</v>
      </c>
      <c r="AM139" s="52">
        <v>136.0</v>
      </c>
      <c r="AN139" s="52">
        <v>15.11</v>
      </c>
      <c r="AO139" s="52">
        <v>1.4803</v>
      </c>
      <c r="AP139" s="52">
        <v>1480.3</v>
      </c>
      <c r="AQ139" s="52">
        <v>801.1211</v>
      </c>
      <c r="AR139" s="52">
        <v>46.8</v>
      </c>
      <c r="AS139" s="52">
        <v>55.2</v>
      </c>
      <c r="AT139" s="52">
        <v>1850.0</v>
      </c>
      <c r="AU139" s="52">
        <v>1001.0</v>
      </c>
      <c r="AV139" s="52">
        <v>962.0</v>
      </c>
      <c r="AW139" s="52">
        <v>521.0</v>
      </c>
      <c r="AX139" s="59"/>
      <c r="AY139" s="60" t="s">
        <v>901</v>
      </c>
      <c r="AZ139" s="59"/>
      <c r="BA139" s="59"/>
      <c r="BB139" s="59"/>
      <c r="BC139" s="52">
        <v>10.0</v>
      </c>
      <c r="BD139" s="52">
        <v>10.0</v>
      </c>
      <c r="BE139" s="52">
        <v>10000.0</v>
      </c>
      <c r="BF139" s="68" t="s">
        <v>370</v>
      </c>
      <c r="BG139" s="68" t="s">
        <v>388</v>
      </c>
      <c r="BH139" s="68" t="s">
        <v>487</v>
      </c>
      <c r="BI139" s="71" t="s">
        <v>373</v>
      </c>
    </row>
    <row r="140" ht="22.5" customHeight="1">
      <c r="A140" s="76" t="s">
        <v>902</v>
      </c>
      <c r="B140" s="69" t="s">
        <v>903</v>
      </c>
      <c r="C140" s="62" t="s">
        <v>9</v>
      </c>
      <c r="D140" s="62" t="s">
        <v>904</v>
      </c>
      <c r="E140" s="69" t="s">
        <v>905</v>
      </c>
      <c r="F140" s="69" t="s">
        <v>903</v>
      </c>
      <c r="G140" s="40">
        <v>300.0</v>
      </c>
      <c r="H140" s="40">
        <v>35879.451</v>
      </c>
      <c r="I140" s="40">
        <v>6.6201</v>
      </c>
      <c r="J140" s="40">
        <v>4.5477</v>
      </c>
      <c r="K140" s="40">
        <v>0.6456</v>
      </c>
      <c r="L140" s="40">
        <v>132.0312</v>
      </c>
      <c r="M140" s="64"/>
      <c r="N140" s="64"/>
      <c r="O140" s="40">
        <v>15.96</v>
      </c>
      <c r="P140" s="40">
        <v>15.996</v>
      </c>
      <c r="Q140" s="40">
        <v>19.1219</v>
      </c>
      <c r="R140" s="69" t="s">
        <v>849</v>
      </c>
      <c r="S140" s="69" t="s">
        <v>850</v>
      </c>
      <c r="T140" s="69" t="s">
        <v>851</v>
      </c>
      <c r="U140" s="69" t="s">
        <v>852</v>
      </c>
      <c r="V140" s="40">
        <v>1400.0</v>
      </c>
      <c r="W140" s="40">
        <v>72859.0</v>
      </c>
      <c r="X140" s="64"/>
      <c r="Y140" s="40">
        <v>35501.0</v>
      </c>
      <c r="Z140" s="40">
        <v>100.0</v>
      </c>
      <c r="AA140" s="40">
        <v>0.0</v>
      </c>
      <c r="AB140" s="40">
        <v>0.0</v>
      </c>
      <c r="AC140" s="40">
        <v>0.0</v>
      </c>
      <c r="AD140" s="40">
        <v>0.0</v>
      </c>
      <c r="AE140" s="40">
        <v>0.0</v>
      </c>
      <c r="AF140" s="40">
        <v>0.0</v>
      </c>
      <c r="AG140" s="40">
        <v>5631.38</v>
      </c>
      <c r="AH140" s="40">
        <v>12952.0</v>
      </c>
      <c r="AI140" s="40">
        <v>35548.0</v>
      </c>
      <c r="AJ140" s="40">
        <v>15925.34980082222</v>
      </c>
      <c r="AK140" s="40">
        <v>56109.316647</v>
      </c>
      <c r="AL140" s="41">
        <v>3.0</v>
      </c>
      <c r="AM140" s="40">
        <v>364.0</v>
      </c>
      <c r="AN140" s="40">
        <v>121.33</v>
      </c>
      <c r="AO140" s="40">
        <v>1.6757</v>
      </c>
      <c r="AP140" s="40">
        <v>1675.7</v>
      </c>
      <c r="AQ140" s="40">
        <v>2383.2461</v>
      </c>
      <c r="AR140" s="64"/>
      <c r="AS140" s="64"/>
      <c r="AT140" s="40">
        <v>2095.0</v>
      </c>
      <c r="AU140" s="40">
        <v>2979.0</v>
      </c>
      <c r="AV140" s="40">
        <v>1089.0</v>
      </c>
      <c r="AW140" s="40">
        <v>1549.0</v>
      </c>
      <c r="AX140" s="64"/>
      <c r="AY140" s="66" t="s">
        <v>906</v>
      </c>
      <c r="AZ140" s="64"/>
      <c r="BA140" s="64"/>
      <c r="BB140" s="64"/>
      <c r="BC140" s="40">
        <v>1000.0</v>
      </c>
      <c r="BD140" s="40">
        <v>3.0</v>
      </c>
      <c r="BE140" s="40">
        <v>1000.0</v>
      </c>
      <c r="BF140" s="69" t="s">
        <v>370</v>
      </c>
      <c r="BG140" s="69" t="s">
        <v>388</v>
      </c>
      <c r="BH140" s="69" t="s">
        <v>487</v>
      </c>
      <c r="BI140" s="70" t="s">
        <v>373</v>
      </c>
    </row>
    <row r="141" ht="22.5" customHeight="1">
      <c r="A141" s="75" t="s">
        <v>907</v>
      </c>
      <c r="B141" s="68" t="s">
        <v>908</v>
      </c>
      <c r="C141" s="58" t="s">
        <v>9</v>
      </c>
      <c r="D141" s="58" t="s">
        <v>909</v>
      </c>
      <c r="E141" s="68" t="s">
        <v>910</v>
      </c>
      <c r="F141" s="68" t="s">
        <v>908</v>
      </c>
      <c r="G141" s="52">
        <v>200.0</v>
      </c>
      <c r="H141" s="52">
        <v>20761.4798</v>
      </c>
      <c r="I141" s="52">
        <v>0.3072</v>
      </c>
      <c r="J141" s="52">
        <v>0.1025</v>
      </c>
      <c r="K141" s="52">
        <v>0.925</v>
      </c>
      <c r="L141" s="52">
        <v>12.8516</v>
      </c>
      <c r="M141" s="59"/>
      <c r="N141" s="59"/>
      <c r="O141" s="52">
        <v>4.35</v>
      </c>
      <c r="P141" s="52">
        <v>4.56</v>
      </c>
      <c r="Q141" s="52">
        <v>223.6068</v>
      </c>
      <c r="R141" s="68" t="s">
        <v>849</v>
      </c>
      <c r="S141" s="68" t="s">
        <v>850</v>
      </c>
      <c r="T141" s="68" t="s">
        <v>851</v>
      </c>
      <c r="U141" s="68" t="s">
        <v>852</v>
      </c>
      <c r="V141" s="52">
        <v>1400.0</v>
      </c>
      <c r="W141" s="52">
        <v>51943.0</v>
      </c>
      <c r="X141" s="59"/>
      <c r="Y141" s="52">
        <v>20618.0</v>
      </c>
      <c r="Z141" s="52">
        <v>100.0</v>
      </c>
      <c r="AA141" s="52">
        <v>0.0</v>
      </c>
      <c r="AB141" s="52">
        <v>0.0</v>
      </c>
      <c r="AC141" s="52">
        <v>0.0</v>
      </c>
      <c r="AD141" s="52">
        <v>0.0</v>
      </c>
      <c r="AE141" s="52">
        <v>0.0</v>
      </c>
      <c r="AF141" s="52">
        <v>0.0</v>
      </c>
      <c r="AG141" s="52">
        <v>6917.09</v>
      </c>
      <c r="AH141" s="52">
        <v>13068.15</v>
      </c>
      <c r="AI141" s="52">
        <v>26502.0</v>
      </c>
      <c r="AJ141" s="52">
        <v>21089.582817882</v>
      </c>
      <c r="AK141" s="52">
        <v>53663.375753</v>
      </c>
      <c r="AL141" s="53">
        <v>6.0</v>
      </c>
      <c r="AM141" s="52">
        <v>266.0</v>
      </c>
      <c r="AN141" s="52">
        <v>44.33</v>
      </c>
      <c r="AO141" s="52">
        <v>0.9685</v>
      </c>
      <c r="AP141" s="52">
        <v>968.5</v>
      </c>
      <c r="AQ141" s="52">
        <v>692.7266</v>
      </c>
      <c r="AR141" s="59"/>
      <c r="AS141" s="59"/>
      <c r="AT141" s="52">
        <v>1211.0</v>
      </c>
      <c r="AU141" s="52">
        <v>866.0</v>
      </c>
      <c r="AV141" s="52">
        <v>630.0</v>
      </c>
      <c r="AW141" s="52">
        <v>450.0</v>
      </c>
      <c r="AX141" s="59"/>
      <c r="AY141" s="60" t="s">
        <v>911</v>
      </c>
      <c r="AZ141" s="59"/>
      <c r="BA141" s="59"/>
      <c r="BB141" s="59"/>
      <c r="BC141" s="52">
        <v>1000.0</v>
      </c>
      <c r="BD141" s="52">
        <v>3.0</v>
      </c>
      <c r="BE141" s="52">
        <v>1000.0</v>
      </c>
      <c r="BF141" s="68" t="s">
        <v>370</v>
      </c>
      <c r="BG141" s="68" t="s">
        <v>388</v>
      </c>
      <c r="BH141" s="68" t="s">
        <v>487</v>
      </c>
      <c r="BI141" s="71" t="s">
        <v>373</v>
      </c>
    </row>
    <row r="142" ht="22.5" customHeight="1">
      <c r="A142" s="76" t="s">
        <v>912</v>
      </c>
      <c r="B142" s="69" t="s">
        <v>913</v>
      </c>
      <c r="C142" s="62" t="s">
        <v>9</v>
      </c>
      <c r="D142" s="62" t="s">
        <v>914</v>
      </c>
      <c r="E142" s="69" t="s">
        <v>915</v>
      </c>
      <c r="F142" s="69" t="s">
        <v>913</v>
      </c>
      <c r="G142" s="40">
        <v>120.0</v>
      </c>
      <c r="H142" s="40">
        <v>20014.9714</v>
      </c>
      <c r="I142" s="40">
        <v>9.2083</v>
      </c>
      <c r="J142" s="40">
        <v>1.3284</v>
      </c>
      <c r="K142" s="40">
        <v>4.5462</v>
      </c>
      <c r="L142" s="40">
        <v>299.2266</v>
      </c>
      <c r="M142" s="64"/>
      <c r="N142" s="64"/>
      <c r="O142" s="40">
        <v>21.2333</v>
      </c>
      <c r="P142" s="40">
        <v>21.2333</v>
      </c>
      <c r="Q142" s="64"/>
      <c r="R142" s="69" t="s">
        <v>849</v>
      </c>
      <c r="S142" s="69" t="s">
        <v>850</v>
      </c>
      <c r="T142" s="69" t="s">
        <v>851</v>
      </c>
      <c r="U142" s="69" t="s">
        <v>852</v>
      </c>
      <c r="V142" s="40">
        <v>293.0</v>
      </c>
      <c r="W142" s="40">
        <v>115127.0</v>
      </c>
      <c r="X142" s="64"/>
      <c r="Y142" s="40">
        <v>115127.0</v>
      </c>
      <c r="Z142" s="40">
        <v>100.0</v>
      </c>
      <c r="AA142" s="40">
        <v>0.0</v>
      </c>
      <c r="AB142" s="40">
        <v>0.0</v>
      </c>
      <c r="AC142" s="40">
        <v>0.0</v>
      </c>
      <c r="AD142" s="40">
        <v>0.0</v>
      </c>
      <c r="AE142" s="40">
        <v>0.0</v>
      </c>
      <c r="AF142" s="40">
        <v>0.0</v>
      </c>
      <c r="AG142" s="40">
        <v>236.84</v>
      </c>
      <c r="AH142" s="40">
        <v>606.7</v>
      </c>
      <c r="AI142" s="40">
        <v>7094.0</v>
      </c>
      <c r="AJ142" s="40">
        <v>238.5426034292672</v>
      </c>
      <c r="AK142" s="40">
        <v>7095.666128</v>
      </c>
      <c r="AL142" s="41">
        <v>6.0</v>
      </c>
      <c r="AM142" s="40">
        <v>187.0</v>
      </c>
      <c r="AN142" s="40">
        <v>31.17</v>
      </c>
      <c r="AO142" s="40">
        <v>2.0837</v>
      </c>
      <c r="AP142" s="40">
        <v>2083.7</v>
      </c>
      <c r="AQ142" s="40">
        <v>771.1367</v>
      </c>
      <c r="AR142" s="40">
        <v>93.1</v>
      </c>
      <c r="AS142" s="40">
        <v>55.7</v>
      </c>
      <c r="AT142" s="40">
        <v>2605.0</v>
      </c>
      <c r="AU142" s="40">
        <v>964.0</v>
      </c>
      <c r="AV142" s="40">
        <v>1354.0</v>
      </c>
      <c r="AW142" s="40">
        <v>501.0</v>
      </c>
      <c r="AX142" s="64"/>
      <c r="AY142" s="66" t="s">
        <v>916</v>
      </c>
      <c r="AZ142" s="64"/>
      <c r="BA142" s="64"/>
      <c r="BB142" s="64"/>
      <c r="BC142" s="40">
        <v>1000.0</v>
      </c>
      <c r="BD142" s="40">
        <v>3.0</v>
      </c>
      <c r="BE142" s="40">
        <v>1000.0</v>
      </c>
      <c r="BF142" s="69" t="s">
        <v>370</v>
      </c>
      <c r="BG142" s="69" t="s">
        <v>371</v>
      </c>
      <c r="BH142" s="69" t="s">
        <v>456</v>
      </c>
      <c r="BI142" s="70" t="s">
        <v>373</v>
      </c>
    </row>
    <row r="143" ht="22.5" customHeight="1">
      <c r="A143" s="75" t="s">
        <v>917</v>
      </c>
      <c r="B143" s="68" t="s">
        <v>918</v>
      </c>
      <c r="C143" s="58" t="s">
        <v>9</v>
      </c>
      <c r="D143" s="58" t="s">
        <v>919</v>
      </c>
      <c r="E143" s="68" t="s">
        <v>920</v>
      </c>
      <c r="F143" s="68" t="s">
        <v>918</v>
      </c>
      <c r="G143" s="52">
        <v>140.0</v>
      </c>
      <c r="H143" s="52">
        <v>10551.7241</v>
      </c>
      <c r="I143" s="52">
        <v>6.4356</v>
      </c>
      <c r="J143" s="52">
        <v>0.5814</v>
      </c>
      <c r="K143" s="52">
        <v>4.65</v>
      </c>
      <c r="L143" s="52">
        <v>53.7227</v>
      </c>
      <c r="M143" s="59"/>
      <c r="N143" s="59"/>
      <c r="O143" s="52">
        <v>21.9333</v>
      </c>
      <c r="P143" s="52">
        <v>21.9333</v>
      </c>
      <c r="Q143" s="59"/>
      <c r="R143" s="68" t="s">
        <v>849</v>
      </c>
      <c r="S143" s="68" t="s">
        <v>850</v>
      </c>
      <c r="T143" s="68" t="s">
        <v>851</v>
      </c>
      <c r="U143" s="68" t="s">
        <v>852</v>
      </c>
      <c r="V143" s="52">
        <v>220.0</v>
      </c>
      <c r="W143" s="52">
        <v>59999.0</v>
      </c>
      <c r="X143" s="59"/>
      <c r="Y143" s="52">
        <v>59999.0</v>
      </c>
      <c r="Z143" s="52">
        <v>100.0</v>
      </c>
      <c r="AA143" s="52">
        <v>0.0</v>
      </c>
      <c r="AB143" s="52">
        <v>0.0</v>
      </c>
      <c r="AC143" s="52">
        <v>0.0</v>
      </c>
      <c r="AD143" s="52">
        <v>0.0</v>
      </c>
      <c r="AE143" s="52">
        <v>0.0</v>
      </c>
      <c r="AF143" s="52">
        <v>0.0</v>
      </c>
      <c r="AG143" s="52">
        <v>257.61</v>
      </c>
      <c r="AH143" s="52">
        <v>812.0</v>
      </c>
      <c r="AI143" s="52">
        <v>5027.0</v>
      </c>
      <c r="AJ143" s="52">
        <v>259.2895251595194</v>
      </c>
      <c r="AK143" s="52">
        <v>5029.055793</v>
      </c>
      <c r="AL143" s="53">
        <v>6.0</v>
      </c>
      <c r="AM143" s="52">
        <v>169.0</v>
      </c>
      <c r="AN143" s="52">
        <v>28.17</v>
      </c>
      <c r="AO143" s="52">
        <v>2.0892</v>
      </c>
      <c r="AP143" s="52">
        <v>2089.2</v>
      </c>
      <c r="AQ143" s="52">
        <v>794.0703</v>
      </c>
      <c r="AR143" s="52">
        <v>95.5</v>
      </c>
      <c r="AS143" s="52">
        <v>57.9</v>
      </c>
      <c r="AT143" s="52">
        <v>2612.0</v>
      </c>
      <c r="AU143" s="52">
        <v>993.0</v>
      </c>
      <c r="AV143" s="52">
        <v>1358.0</v>
      </c>
      <c r="AW143" s="52">
        <v>516.0</v>
      </c>
      <c r="AX143" s="59"/>
      <c r="AY143" s="60" t="s">
        <v>921</v>
      </c>
      <c r="AZ143" s="59"/>
      <c r="BA143" s="59"/>
      <c r="BB143" s="59"/>
      <c r="BC143" s="52">
        <v>1000.0</v>
      </c>
      <c r="BD143" s="52">
        <v>3.0</v>
      </c>
      <c r="BE143" s="52">
        <v>1000.0</v>
      </c>
      <c r="BF143" s="68" t="s">
        <v>370</v>
      </c>
      <c r="BG143" s="68" t="s">
        <v>371</v>
      </c>
      <c r="BH143" s="68" t="s">
        <v>456</v>
      </c>
      <c r="BI143" s="71" t="s">
        <v>373</v>
      </c>
    </row>
    <row r="144" ht="22.5" customHeight="1">
      <c r="A144" s="76" t="s">
        <v>922</v>
      </c>
      <c r="B144" s="69" t="s">
        <v>923</v>
      </c>
      <c r="C144" s="62" t="s">
        <v>9</v>
      </c>
      <c r="D144" s="62" t="s">
        <v>914</v>
      </c>
      <c r="E144" s="69" t="s">
        <v>924</v>
      </c>
      <c r="F144" s="69" t="s">
        <v>923</v>
      </c>
      <c r="G144" s="40">
        <v>120.0</v>
      </c>
      <c r="H144" s="40">
        <v>13386.8571</v>
      </c>
      <c r="I144" s="40">
        <v>5.0646</v>
      </c>
      <c r="J144" s="40">
        <v>0.689</v>
      </c>
      <c r="K144" s="40">
        <v>4.65</v>
      </c>
      <c r="L144" s="40">
        <v>44.1641</v>
      </c>
      <c r="M144" s="64"/>
      <c r="N144" s="64"/>
      <c r="O144" s="40">
        <v>21.9333</v>
      </c>
      <c r="P144" s="40">
        <v>21.9333</v>
      </c>
      <c r="Q144" s="64"/>
      <c r="R144" s="69" t="s">
        <v>849</v>
      </c>
      <c r="S144" s="69" t="s">
        <v>850</v>
      </c>
      <c r="T144" s="69" t="s">
        <v>851</v>
      </c>
      <c r="U144" s="69" t="s">
        <v>852</v>
      </c>
      <c r="V144" s="40">
        <v>220.0</v>
      </c>
      <c r="W144" s="40">
        <v>115201.0</v>
      </c>
      <c r="X144" s="64"/>
      <c r="Y144" s="40">
        <v>115201.0</v>
      </c>
      <c r="Z144" s="40">
        <v>100.0</v>
      </c>
      <c r="AA144" s="40">
        <v>0.0</v>
      </c>
      <c r="AB144" s="40">
        <v>0.0</v>
      </c>
      <c r="AC144" s="40">
        <v>0.0</v>
      </c>
      <c r="AD144" s="40">
        <v>0.0</v>
      </c>
      <c r="AE144" s="40">
        <v>0.0</v>
      </c>
      <c r="AF144" s="40">
        <v>0.0</v>
      </c>
      <c r="AG144" s="40">
        <v>130.79</v>
      </c>
      <c r="AH144" s="40">
        <v>251.0</v>
      </c>
      <c r="AI144" s="40">
        <v>5311.0</v>
      </c>
      <c r="AJ144" s="40">
        <v>132.4026720345053</v>
      </c>
      <c r="AK144" s="40">
        <v>5312.542042</v>
      </c>
      <c r="AL144" s="41">
        <v>9.0</v>
      </c>
      <c r="AM144" s="40">
        <v>137.0</v>
      </c>
      <c r="AN144" s="40">
        <v>15.22</v>
      </c>
      <c r="AO144" s="40">
        <v>2.0892</v>
      </c>
      <c r="AP144" s="40">
        <v>2089.2</v>
      </c>
      <c r="AQ144" s="40">
        <v>794.0703</v>
      </c>
      <c r="AR144" s="40">
        <v>80.9</v>
      </c>
      <c r="AS144" s="40">
        <v>58.7</v>
      </c>
      <c r="AT144" s="40">
        <v>2612.0</v>
      </c>
      <c r="AU144" s="40">
        <v>993.0</v>
      </c>
      <c r="AV144" s="40">
        <v>1358.0</v>
      </c>
      <c r="AW144" s="40">
        <v>516.0</v>
      </c>
      <c r="AX144" s="64"/>
      <c r="AY144" s="66" t="s">
        <v>925</v>
      </c>
      <c r="AZ144" s="64"/>
      <c r="BA144" s="64"/>
      <c r="BB144" s="64"/>
      <c r="BC144" s="40">
        <v>1000.0</v>
      </c>
      <c r="BD144" s="40">
        <v>3.0</v>
      </c>
      <c r="BE144" s="40">
        <v>1000.0</v>
      </c>
      <c r="BF144" s="69" t="s">
        <v>370</v>
      </c>
      <c r="BG144" s="69" t="s">
        <v>371</v>
      </c>
      <c r="BH144" s="69" t="s">
        <v>456</v>
      </c>
      <c r="BI144" s="70" t="s">
        <v>373</v>
      </c>
    </row>
    <row r="145" ht="22.5" customHeight="1">
      <c r="A145" s="75" t="s">
        <v>926</v>
      </c>
      <c r="B145" s="68" t="s">
        <v>927</v>
      </c>
      <c r="C145" s="58" t="s">
        <v>9</v>
      </c>
      <c r="D145" s="58" t="s">
        <v>914</v>
      </c>
      <c r="E145" s="68" t="s">
        <v>928</v>
      </c>
      <c r="F145" s="68" t="s">
        <v>927</v>
      </c>
      <c r="G145" s="52">
        <v>120.0</v>
      </c>
      <c r="H145" s="52">
        <v>13338.9803</v>
      </c>
      <c r="I145" s="52">
        <v>3.0197</v>
      </c>
      <c r="J145" s="52">
        <v>0.2907</v>
      </c>
      <c r="K145" s="52">
        <v>2.1337</v>
      </c>
      <c r="L145" s="52">
        <v>817.8672</v>
      </c>
      <c r="M145" s="59"/>
      <c r="N145" s="59"/>
      <c r="O145" s="52">
        <v>14.1667</v>
      </c>
      <c r="P145" s="52">
        <v>14.1667</v>
      </c>
      <c r="Q145" s="59"/>
      <c r="R145" s="68" t="s">
        <v>849</v>
      </c>
      <c r="S145" s="68" t="s">
        <v>850</v>
      </c>
      <c r="T145" s="68" t="s">
        <v>851</v>
      </c>
      <c r="U145" s="68" t="s">
        <v>852</v>
      </c>
      <c r="V145" s="52">
        <v>287.0</v>
      </c>
      <c r="W145" s="52">
        <v>115133.0</v>
      </c>
      <c r="X145" s="59"/>
      <c r="Y145" s="52">
        <v>115133.0</v>
      </c>
      <c r="Z145" s="52">
        <v>100.0</v>
      </c>
      <c r="AA145" s="52">
        <v>0.0</v>
      </c>
      <c r="AB145" s="52">
        <v>0.0</v>
      </c>
      <c r="AC145" s="52">
        <v>0.0</v>
      </c>
      <c r="AD145" s="52">
        <v>0.0</v>
      </c>
      <c r="AE145" s="52">
        <v>0.0</v>
      </c>
      <c r="AF145" s="52">
        <v>0.0</v>
      </c>
      <c r="AG145" s="52">
        <v>105.17</v>
      </c>
      <c r="AH145" s="52">
        <v>175.0</v>
      </c>
      <c r="AI145" s="52">
        <v>5117.0</v>
      </c>
      <c r="AJ145" s="52">
        <v>106.7531880425672</v>
      </c>
      <c r="AK145" s="52">
        <v>5118.393659</v>
      </c>
      <c r="AL145" s="53">
        <v>9.0</v>
      </c>
      <c r="AM145" s="52">
        <v>239.0</v>
      </c>
      <c r="AN145" s="52">
        <v>26.56</v>
      </c>
      <c r="AO145" s="52">
        <v>1.7349</v>
      </c>
      <c r="AP145" s="52">
        <v>1734.9</v>
      </c>
      <c r="AQ145" s="52">
        <v>828.6289</v>
      </c>
      <c r="AR145" s="52">
        <v>77.3</v>
      </c>
      <c r="AS145" s="52">
        <v>41.3</v>
      </c>
      <c r="AT145" s="52">
        <v>2169.0</v>
      </c>
      <c r="AU145" s="52">
        <v>1036.0</v>
      </c>
      <c r="AV145" s="52">
        <v>1128.0</v>
      </c>
      <c r="AW145" s="52">
        <v>539.0</v>
      </c>
      <c r="AX145" s="59"/>
      <c r="AY145" s="60" t="s">
        <v>929</v>
      </c>
      <c r="AZ145" s="59"/>
      <c r="BA145" s="59"/>
      <c r="BB145" s="59"/>
      <c r="BC145" s="52">
        <v>1000.0</v>
      </c>
      <c r="BD145" s="52">
        <v>3.0</v>
      </c>
      <c r="BE145" s="52">
        <v>1000.0</v>
      </c>
      <c r="BF145" s="68" t="s">
        <v>370</v>
      </c>
      <c r="BG145" s="68" t="s">
        <v>371</v>
      </c>
      <c r="BH145" s="68" t="s">
        <v>487</v>
      </c>
      <c r="BI145" s="71" t="s">
        <v>373</v>
      </c>
    </row>
    <row r="146" ht="22.5" customHeight="1">
      <c r="A146" s="76" t="s">
        <v>930</v>
      </c>
      <c r="B146" s="69" t="s">
        <v>931</v>
      </c>
      <c r="C146" s="62" t="s">
        <v>9</v>
      </c>
      <c r="D146" s="62" t="s">
        <v>914</v>
      </c>
      <c r="E146" s="69" t="s">
        <v>932</v>
      </c>
      <c r="F146" s="69" t="s">
        <v>931</v>
      </c>
      <c r="G146" s="40">
        <v>120.0</v>
      </c>
      <c r="H146" s="40">
        <v>20294.1906</v>
      </c>
      <c r="I146" s="40">
        <v>2.5315</v>
      </c>
      <c r="J146" s="40">
        <v>0.4263</v>
      </c>
      <c r="K146" s="40">
        <v>4.17</v>
      </c>
      <c r="L146" s="40">
        <v>901.7656</v>
      </c>
      <c r="M146" s="64"/>
      <c r="N146" s="64"/>
      <c r="O146" s="40">
        <v>21.3</v>
      </c>
      <c r="P146" s="40">
        <v>21.3</v>
      </c>
      <c r="Q146" s="64"/>
      <c r="R146" s="69" t="s">
        <v>849</v>
      </c>
      <c r="S146" s="69" t="s">
        <v>850</v>
      </c>
      <c r="T146" s="69" t="s">
        <v>851</v>
      </c>
      <c r="U146" s="69" t="s">
        <v>852</v>
      </c>
      <c r="V146" s="40">
        <v>276.0</v>
      </c>
      <c r="W146" s="40">
        <v>115144.0</v>
      </c>
      <c r="X146" s="64"/>
      <c r="Y146" s="40">
        <v>115144.0</v>
      </c>
      <c r="Z146" s="40">
        <v>100.0</v>
      </c>
      <c r="AA146" s="40">
        <v>0.0</v>
      </c>
      <c r="AB146" s="40">
        <v>0.0</v>
      </c>
      <c r="AC146" s="40">
        <v>0.0</v>
      </c>
      <c r="AD146" s="40">
        <v>0.0</v>
      </c>
      <c r="AE146" s="40">
        <v>0.0</v>
      </c>
      <c r="AF146" s="40">
        <v>0.0</v>
      </c>
      <c r="AG146" s="40">
        <v>181.57</v>
      </c>
      <c r="AH146" s="40">
        <v>426.0</v>
      </c>
      <c r="AI146" s="40">
        <v>7518.0</v>
      </c>
      <c r="AJ146" s="40">
        <v>183.1733680091823</v>
      </c>
      <c r="AK146" s="40">
        <v>7519.633799</v>
      </c>
      <c r="AL146" s="41">
        <v>6.0</v>
      </c>
      <c r="AM146" s="40">
        <v>224.0</v>
      </c>
      <c r="AN146" s="40">
        <v>37.33</v>
      </c>
      <c r="AO146" s="40">
        <v>1.8124</v>
      </c>
      <c r="AP146" s="40">
        <v>1812.4</v>
      </c>
      <c r="AQ146" s="40">
        <v>912.4766</v>
      </c>
      <c r="AR146" s="40">
        <v>95.2</v>
      </c>
      <c r="AS146" s="40">
        <v>27.6</v>
      </c>
      <c r="AT146" s="40">
        <v>2266.0</v>
      </c>
      <c r="AU146" s="40">
        <v>1141.0</v>
      </c>
      <c r="AV146" s="40">
        <v>1178.0</v>
      </c>
      <c r="AW146" s="40">
        <v>593.0</v>
      </c>
      <c r="AX146" s="64"/>
      <c r="AY146" s="66" t="s">
        <v>933</v>
      </c>
      <c r="AZ146" s="64"/>
      <c r="BA146" s="64"/>
      <c r="BB146" s="64"/>
      <c r="BC146" s="40">
        <v>1000.0</v>
      </c>
      <c r="BD146" s="40">
        <v>3.0</v>
      </c>
      <c r="BE146" s="40">
        <v>1000.0</v>
      </c>
      <c r="BF146" s="69" t="s">
        <v>370</v>
      </c>
      <c r="BG146" s="69" t="s">
        <v>371</v>
      </c>
      <c r="BH146" s="69" t="s">
        <v>465</v>
      </c>
      <c r="BI146" s="70" t="s">
        <v>373</v>
      </c>
    </row>
    <row r="147" ht="22.5" customHeight="1">
      <c r="A147" s="75" t="s">
        <v>934</v>
      </c>
      <c r="B147" s="68" t="s">
        <v>935</v>
      </c>
      <c r="C147" s="58" t="s">
        <v>9</v>
      </c>
      <c r="D147" s="58" t="s">
        <v>914</v>
      </c>
      <c r="E147" s="68" t="s">
        <v>936</v>
      </c>
      <c r="F147" s="68" t="s">
        <v>935</v>
      </c>
      <c r="G147" s="52">
        <v>120.0</v>
      </c>
      <c r="H147" s="52">
        <v>13779.7714</v>
      </c>
      <c r="I147" s="52">
        <v>0.6968</v>
      </c>
      <c r="J147" s="52">
        <v>0.1031</v>
      </c>
      <c r="K147" s="52">
        <v>2.8663</v>
      </c>
      <c r="L147" s="52">
        <v>13.0273</v>
      </c>
      <c r="M147" s="59"/>
      <c r="N147" s="59"/>
      <c r="O147" s="52">
        <v>14.2</v>
      </c>
      <c r="P147" s="52">
        <v>14.2</v>
      </c>
      <c r="Q147" s="59"/>
      <c r="R147" s="68" t="s">
        <v>849</v>
      </c>
      <c r="S147" s="68" t="s">
        <v>850</v>
      </c>
      <c r="T147" s="68" t="s">
        <v>851</v>
      </c>
      <c r="U147" s="68" t="s">
        <v>852</v>
      </c>
      <c r="V147" s="52">
        <v>220.0</v>
      </c>
      <c r="W147" s="52">
        <v>115200.0</v>
      </c>
      <c r="X147" s="59"/>
      <c r="Y147" s="52">
        <v>115200.0</v>
      </c>
      <c r="Z147" s="52">
        <v>100.0</v>
      </c>
      <c r="AA147" s="52">
        <v>0.0</v>
      </c>
      <c r="AB147" s="52">
        <v>0.0</v>
      </c>
      <c r="AC147" s="52">
        <v>0.0</v>
      </c>
      <c r="AD147" s="52">
        <v>0.0</v>
      </c>
      <c r="AE147" s="52">
        <v>0.0</v>
      </c>
      <c r="AF147" s="52">
        <v>0.0</v>
      </c>
      <c r="AG147" s="52">
        <v>101.23</v>
      </c>
      <c r="AH147" s="52">
        <v>183.0</v>
      </c>
      <c r="AI147" s="52">
        <v>7138.0</v>
      </c>
      <c r="AJ147" s="52">
        <v>102.8292496655636</v>
      </c>
      <c r="AK147" s="52">
        <v>7139.359739</v>
      </c>
      <c r="AL147" s="53">
        <v>9.0</v>
      </c>
      <c r="AM147" s="52">
        <v>140.0</v>
      </c>
      <c r="AN147" s="52">
        <v>15.56</v>
      </c>
      <c r="AO147" s="52">
        <v>1.5517</v>
      </c>
      <c r="AP147" s="52">
        <v>1551.7</v>
      </c>
      <c r="AQ147" s="52">
        <v>755.0312</v>
      </c>
      <c r="AR147" s="52">
        <v>84.5</v>
      </c>
      <c r="AS147" s="52">
        <v>31.2</v>
      </c>
      <c r="AT147" s="52">
        <v>1940.0</v>
      </c>
      <c r="AU147" s="52">
        <v>944.0</v>
      </c>
      <c r="AV147" s="52">
        <v>1009.0</v>
      </c>
      <c r="AW147" s="52">
        <v>491.0</v>
      </c>
      <c r="AX147" s="59"/>
      <c r="AY147" s="60" t="s">
        <v>937</v>
      </c>
      <c r="AZ147" s="59"/>
      <c r="BA147" s="59"/>
      <c r="BB147" s="59"/>
      <c r="BC147" s="52">
        <v>1000.0</v>
      </c>
      <c r="BD147" s="52">
        <v>3.0</v>
      </c>
      <c r="BE147" s="52">
        <v>1000.0</v>
      </c>
      <c r="BF147" s="68" t="s">
        <v>370</v>
      </c>
      <c r="BG147" s="68" t="s">
        <v>371</v>
      </c>
      <c r="BH147" s="68" t="s">
        <v>465</v>
      </c>
      <c r="BI147" s="71" t="s">
        <v>373</v>
      </c>
    </row>
    <row r="148" ht="22.5" customHeight="1">
      <c r="A148" s="76" t="s">
        <v>938</v>
      </c>
      <c r="B148" s="69" t="s">
        <v>939</v>
      </c>
      <c r="C148" s="62" t="s">
        <v>9</v>
      </c>
      <c r="D148" s="62" t="s">
        <v>914</v>
      </c>
      <c r="E148" s="69" t="s">
        <v>940</v>
      </c>
      <c r="F148" s="69" t="s">
        <v>939</v>
      </c>
      <c r="G148" s="40">
        <v>120.0</v>
      </c>
      <c r="H148" s="40">
        <v>19819.7836</v>
      </c>
      <c r="I148" s="40">
        <v>35.3001</v>
      </c>
      <c r="J148" s="40">
        <v>4.302</v>
      </c>
      <c r="K148" s="40">
        <v>1.8875</v>
      </c>
      <c r="L148" s="40">
        <v>628.4297</v>
      </c>
      <c r="M148" s="64"/>
      <c r="N148" s="64"/>
      <c r="O148" s="40">
        <v>21.7333</v>
      </c>
      <c r="P148" s="40">
        <v>21.7333</v>
      </c>
      <c r="Q148" s="64"/>
      <c r="R148" s="69" t="s">
        <v>849</v>
      </c>
      <c r="S148" s="69" t="s">
        <v>850</v>
      </c>
      <c r="T148" s="69" t="s">
        <v>851</v>
      </c>
      <c r="U148" s="69" t="s">
        <v>852</v>
      </c>
      <c r="V148" s="40">
        <v>238.0</v>
      </c>
      <c r="W148" s="40">
        <v>115182.0</v>
      </c>
      <c r="X148" s="64"/>
      <c r="Y148" s="40">
        <v>115182.0</v>
      </c>
      <c r="Z148" s="40">
        <v>100.0</v>
      </c>
      <c r="AA148" s="40">
        <v>0.0</v>
      </c>
      <c r="AB148" s="40">
        <v>0.0</v>
      </c>
      <c r="AC148" s="40">
        <v>0.0</v>
      </c>
      <c r="AD148" s="40">
        <v>0.0</v>
      </c>
      <c r="AE148" s="40">
        <v>0.0</v>
      </c>
      <c r="AF148" s="40">
        <v>0.0</v>
      </c>
      <c r="AG148" s="40">
        <v>83.54</v>
      </c>
      <c r="AH148" s="40">
        <v>117.0</v>
      </c>
      <c r="AI148" s="40">
        <v>5166.0</v>
      </c>
      <c r="AJ148" s="40">
        <v>85.14971882602391</v>
      </c>
      <c r="AK148" s="40">
        <v>5167.619529</v>
      </c>
      <c r="AL148" s="41">
        <v>6.0</v>
      </c>
      <c r="AM148" s="40">
        <v>198.0</v>
      </c>
      <c r="AN148" s="40">
        <v>33.0</v>
      </c>
      <c r="AO148" s="40">
        <v>2.296</v>
      </c>
      <c r="AP148" s="40">
        <v>2296.0</v>
      </c>
      <c r="AQ148" s="40">
        <v>1042.2188</v>
      </c>
      <c r="AR148" s="40">
        <v>54.9</v>
      </c>
      <c r="AS148" s="40">
        <v>52.7</v>
      </c>
      <c r="AT148" s="40">
        <v>2870.0</v>
      </c>
      <c r="AU148" s="40">
        <v>1303.0</v>
      </c>
      <c r="AV148" s="40">
        <v>1492.0</v>
      </c>
      <c r="AW148" s="40">
        <v>677.0</v>
      </c>
      <c r="AX148" s="64"/>
      <c r="AY148" s="66" t="s">
        <v>941</v>
      </c>
      <c r="AZ148" s="64"/>
      <c r="BA148" s="64"/>
      <c r="BB148" s="64"/>
      <c r="BC148" s="40">
        <v>1000.0</v>
      </c>
      <c r="BD148" s="40">
        <v>3.0</v>
      </c>
      <c r="BE148" s="40">
        <v>1000.0</v>
      </c>
      <c r="BF148" s="69" t="s">
        <v>370</v>
      </c>
      <c r="BG148" s="69" t="s">
        <v>563</v>
      </c>
      <c r="BH148" s="69" t="s">
        <v>456</v>
      </c>
      <c r="BI148" s="70" t="s">
        <v>373</v>
      </c>
    </row>
    <row r="149" ht="22.5" customHeight="1">
      <c r="A149" s="75" t="s">
        <v>942</v>
      </c>
      <c r="B149" s="68" t="s">
        <v>943</v>
      </c>
      <c r="C149" s="58" t="s">
        <v>9</v>
      </c>
      <c r="D149" s="58" t="s">
        <v>914</v>
      </c>
      <c r="E149" s="68" t="s">
        <v>944</v>
      </c>
      <c r="F149" s="68" t="s">
        <v>943</v>
      </c>
      <c r="G149" s="52">
        <v>120.0</v>
      </c>
      <c r="H149" s="52">
        <v>13700.5714</v>
      </c>
      <c r="I149" s="52">
        <v>12.4092</v>
      </c>
      <c r="J149" s="52">
        <v>1.6437</v>
      </c>
      <c r="K149" s="52">
        <v>1.0275</v>
      </c>
      <c r="L149" s="52">
        <v>89.0273</v>
      </c>
      <c r="M149" s="59"/>
      <c r="N149" s="59"/>
      <c r="O149" s="52">
        <v>20.7667</v>
      </c>
      <c r="P149" s="52">
        <v>20.7667</v>
      </c>
      <c r="Q149" s="59"/>
      <c r="R149" s="68" t="s">
        <v>849</v>
      </c>
      <c r="S149" s="68" t="s">
        <v>850</v>
      </c>
      <c r="T149" s="68" t="s">
        <v>851</v>
      </c>
      <c r="U149" s="68" t="s">
        <v>852</v>
      </c>
      <c r="V149" s="52">
        <v>220.0</v>
      </c>
      <c r="W149" s="52">
        <v>115201.0</v>
      </c>
      <c r="X149" s="59"/>
      <c r="Y149" s="52">
        <v>115201.0</v>
      </c>
      <c r="Z149" s="52">
        <v>100.0</v>
      </c>
      <c r="AA149" s="52">
        <v>0.0</v>
      </c>
      <c r="AB149" s="52">
        <v>0.0</v>
      </c>
      <c r="AC149" s="52">
        <v>0.0</v>
      </c>
      <c r="AD149" s="52">
        <v>0.0</v>
      </c>
      <c r="AE149" s="52">
        <v>0.0</v>
      </c>
      <c r="AF149" s="52">
        <v>0.0</v>
      </c>
      <c r="AG149" s="52">
        <v>74.53</v>
      </c>
      <c r="AH149" s="52">
        <v>95.0</v>
      </c>
      <c r="AI149" s="52">
        <v>5098.0</v>
      </c>
      <c r="AJ149" s="52">
        <v>76.12895200171015</v>
      </c>
      <c r="AK149" s="52">
        <v>5098.524776</v>
      </c>
      <c r="AL149" s="53">
        <v>9.0</v>
      </c>
      <c r="AM149" s="52">
        <v>145.0</v>
      </c>
      <c r="AN149" s="52">
        <v>16.11</v>
      </c>
      <c r="AO149" s="52">
        <v>2.2121</v>
      </c>
      <c r="AP149" s="52">
        <v>2212.1</v>
      </c>
      <c r="AQ149" s="52">
        <v>705.5547</v>
      </c>
      <c r="AR149" s="52">
        <v>54.3</v>
      </c>
      <c r="AS149" s="52">
        <v>57.0</v>
      </c>
      <c r="AT149" s="52">
        <v>2765.0</v>
      </c>
      <c r="AU149" s="52">
        <v>882.0</v>
      </c>
      <c r="AV149" s="52">
        <v>1438.0</v>
      </c>
      <c r="AW149" s="52">
        <v>459.0</v>
      </c>
      <c r="AX149" s="59"/>
      <c r="AY149" s="60" t="s">
        <v>945</v>
      </c>
      <c r="AZ149" s="59"/>
      <c r="BA149" s="59"/>
      <c r="BB149" s="59"/>
      <c r="BC149" s="52">
        <v>1000.0</v>
      </c>
      <c r="BD149" s="52">
        <v>3.0</v>
      </c>
      <c r="BE149" s="52">
        <v>1000.0</v>
      </c>
      <c r="BF149" s="68" t="s">
        <v>370</v>
      </c>
      <c r="BG149" s="68" t="s">
        <v>563</v>
      </c>
      <c r="BH149" s="68" t="s">
        <v>456</v>
      </c>
      <c r="BI149" s="71" t="s">
        <v>373</v>
      </c>
    </row>
    <row r="150" ht="22.5" customHeight="1">
      <c r="A150" s="76" t="s">
        <v>946</v>
      </c>
      <c r="B150" s="69" t="s">
        <v>947</v>
      </c>
      <c r="C150" s="62" t="s">
        <v>9</v>
      </c>
      <c r="D150" s="62" t="s">
        <v>948</v>
      </c>
      <c r="E150" s="69" t="s">
        <v>949</v>
      </c>
      <c r="F150" s="69" t="s">
        <v>947</v>
      </c>
      <c r="G150" s="40">
        <v>60.0</v>
      </c>
      <c r="H150" s="40">
        <v>3422.0</v>
      </c>
      <c r="I150" s="40">
        <v>16.374</v>
      </c>
      <c r="J150" s="40">
        <v>2.0679</v>
      </c>
      <c r="K150" s="40">
        <v>0.54</v>
      </c>
      <c r="L150" s="40">
        <v>133.4375</v>
      </c>
      <c r="M150" s="40">
        <v>0.0</v>
      </c>
      <c r="N150" s="40">
        <v>0.0</v>
      </c>
      <c r="O150" s="40">
        <v>18.2</v>
      </c>
      <c r="P150" s="40">
        <v>20.1</v>
      </c>
      <c r="Q150" s="40">
        <v>0.0</v>
      </c>
      <c r="R150" s="69" t="s">
        <v>849</v>
      </c>
      <c r="S150" s="69" t="s">
        <v>850</v>
      </c>
      <c r="T150" s="69" t="s">
        <v>851</v>
      </c>
      <c r="U150" s="69" t="s">
        <v>852</v>
      </c>
      <c r="V150" s="40">
        <v>220.0</v>
      </c>
      <c r="W150" s="40">
        <v>9899.0</v>
      </c>
      <c r="X150" s="64"/>
      <c r="Y150" s="40">
        <v>9899.0</v>
      </c>
      <c r="Z150" s="40">
        <v>100.0</v>
      </c>
      <c r="AA150" s="40">
        <v>0.0</v>
      </c>
      <c r="AB150" s="40">
        <v>0.0</v>
      </c>
      <c r="AC150" s="40">
        <v>0.0</v>
      </c>
      <c r="AD150" s="40">
        <v>0.0</v>
      </c>
      <c r="AE150" s="40">
        <v>0.0</v>
      </c>
      <c r="AF150" s="40">
        <v>0.0</v>
      </c>
      <c r="AG150" s="40">
        <v>76.35</v>
      </c>
      <c r="AH150" s="40">
        <v>100.0</v>
      </c>
      <c r="AI150" s="40">
        <v>5064.0</v>
      </c>
      <c r="AJ150" s="40">
        <v>78.09179829508048</v>
      </c>
      <c r="AK150" s="40">
        <v>5065.28709</v>
      </c>
      <c r="AL150" s="41">
        <v>3.0</v>
      </c>
      <c r="AM150" s="40">
        <v>61.0</v>
      </c>
      <c r="AN150" s="40">
        <v>20.33</v>
      </c>
      <c r="AO150" s="40">
        <v>2.2879</v>
      </c>
      <c r="AP150" s="40">
        <v>2287.9</v>
      </c>
      <c r="AQ150" s="40">
        <v>968.1641</v>
      </c>
      <c r="AR150" s="40">
        <v>41.9</v>
      </c>
      <c r="AS150" s="40">
        <v>47.1</v>
      </c>
      <c r="AT150" s="40">
        <v>2860.0</v>
      </c>
      <c r="AU150" s="40">
        <v>1210.0</v>
      </c>
      <c r="AV150" s="40">
        <v>1487.0</v>
      </c>
      <c r="AW150" s="40">
        <v>629.0</v>
      </c>
      <c r="AX150" s="64"/>
      <c r="AY150" s="66" t="s">
        <v>950</v>
      </c>
      <c r="AZ150" s="64"/>
      <c r="BA150" s="64"/>
      <c r="BB150" s="64"/>
      <c r="BC150" s="40">
        <v>1000.0</v>
      </c>
      <c r="BD150" s="40">
        <v>3.0</v>
      </c>
      <c r="BE150" s="40">
        <v>1000.0</v>
      </c>
      <c r="BF150" s="69" t="s">
        <v>370</v>
      </c>
      <c r="BG150" s="69" t="s">
        <v>563</v>
      </c>
      <c r="BH150" s="69" t="s">
        <v>487</v>
      </c>
      <c r="BI150" s="70" t="s">
        <v>373</v>
      </c>
    </row>
    <row r="151" ht="22.5" customHeight="1">
      <c r="A151" s="73" t="s">
        <v>951</v>
      </c>
      <c r="B151" s="68" t="s">
        <v>952</v>
      </c>
      <c r="C151" s="58" t="s">
        <v>9</v>
      </c>
      <c r="D151" s="58" t="s">
        <v>953</v>
      </c>
      <c r="E151" s="68" t="s">
        <v>954</v>
      </c>
      <c r="F151" s="68" t="s">
        <v>952</v>
      </c>
      <c r="G151" s="52">
        <v>100.0</v>
      </c>
      <c r="H151" s="52">
        <v>33286.6286</v>
      </c>
      <c r="I151" s="52">
        <v>90.6247</v>
      </c>
      <c r="J151" s="52">
        <v>42.2104</v>
      </c>
      <c r="K151" s="52">
        <v>1.1558</v>
      </c>
      <c r="L151" s="52">
        <v>193.3828</v>
      </c>
      <c r="M151" s="59"/>
      <c r="N151" s="59"/>
      <c r="O151" s="52">
        <v>41.6</v>
      </c>
      <c r="P151" s="52">
        <v>41.2667</v>
      </c>
      <c r="Q151" s="59"/>
      <c r="R151" s="68" t="s">
        <v>849</v>
      </c>
      <c r="S151" s="68" t="s">
        <v>850</v>
      </c>
      <c r="T151" s="68" t="s">
        <v>851</v>
      </c>
      <c r="U151" s="68" t="s">
        <v>852</v>
      </c>
      <c r="V151" s="52">
        <v>220.0</v>
      </c>
      <c r="W151" s="52">
        <v>96001.0</v>
      </c>
      <c r="X151" s="59"/>
      <c r="Y151" s="52">
        <v>95987.0</v>
      </c>
      <c r="Z151" s="52">
        <v>99.9854</v>
      </c>
      <c r="AA151" s="52">
        <v>14.0</v>
      </c>
      <c r="AB151" s="52">
        <v>0.0146</v>
      </c>
      <c r="AC151" s="52">
        <v>0.0</v>
      </c>
      <c r="AD151" s="52">
        <v>0.0</v>
      </c>
      <c r="AE151" s="52">
        <v>0.0</v>
      </c>
      <c r="AF151" s="52">
        <v>0.0</v>
      </c>
      <c r="AG151" s="52">
        <v>730.85</v>
      </c>
      <c r="AH151" s="52">
        <v>3098.0</v>
      </c>
      <c r="AI151" s="52">
        <v>5723.0</v>
      </c>
      <c r="AJ151" s="52">
        <v>732.4986539974641</v>
      </c>
      <c r="AK151" s="52">
        <v>5725.238788</v>
      </c>
      <c r="AL151" s="53">
        <v>3.0</v>
      </c>
      <c r="AM151" s="52">
        <v>130.0</v>
      </c>
      <c r="AN151" s="52">
        <v>43.33</v>
      </c>
      <c r="AO151" s="52">
        <v>2.5024</v>
      </c>
      <c r="AP151" s="52">
        <v>2502.4</v>
      </c>
      <c r="AQ151" s="52">
        <v>1078.8164</v>
      </c>
      <c r="AR151" s="59"/>
      <c r="AS151" s="59"/>
      <c r="AT151" s="52">
        <v>3128.0</v>
      </c>
      <c r="AU151" s="52">
        <v>1349.0</v>
      </c>
      <c r="AV151" s="52">
        <v>1627.0</v>
      </c>
      <c r="AW151" s="52">
        <v>701.0</v>
      </c>
      <c r="AX151" s="59"/>
      <c r="AY151" s="60" t="s">
        <v>955</v>
      </c>
      <c r="AZ151" s="59"/>
      <c r="BA151" s="59"/>
      <c r="BB151" s="59"/>
      <c r="BC151" s="52">
        <v>1000.0</v>
      </c>
      <c r="BD151" s="52">
        <v>3.0</v>
      </c>
      <c r="BE151" s="52">
        <v>1000.0</v>
      </c>
      <c r="BF151" s="68" t="s">
        <v>370</v>
      </c>
      <c r="BG151" s="68" t="s">
        <v>563</v>
      </c>
      <c r="BH151" s="68" t="s">
        <v>487</v>
      </c>
      <c r="BI151" s="71" t="s">
        <v>373</v>
      </c>
    </row>
    <row r="152" ht="22.5" customHeight="1">
      <c r="A152" s="72" t="s">
        <v>956</v>
      </c>
      <c r="B152" s="69" t="s">
        <v>957</v>
      </c>
      <c r="C152" s="62" t="s">
        <v>9</v>
      </c>
      <c r="D152" s="62" t="s">
        <v>914</v>
      </c>
      <c r="E152" s="69" t="s">
        <v>958</v>
      </c>
      <c r="F152" s="69" t="s">
        <v>957</v>
      </c>
      <c r="G152" s="40">
        <v>120.0</v>
      </c>
      <c r="H152" s="40">
        <v>37660.0</v>
      </c>
      <c r="I152" s="40">
        <v>92.5254</v>
      </c>
      <c r="J152" s="40">
        <v>40.1354</v>
      </c>
      <c r="K152" s="40">
        <v>0.9517</v>
      </c>
      <c r="L152" s="40">
        <v>257.5742</v>
      </c>
      <c r="M152" s="64"/>
      <c r="N152" s="64"/>
      <c r="O152" s="40">
        <v>41.8</v>
      </c>
      <c r="P152" s="40">
        <v>41.8</v>
      </c>
      <c r="Q152" s="64"/>
      <c r="R152" s="69" t="s">
        <v>849</v>
      </c>
      <c r="S152" s="69" t="s">
        <v>850</v>
      </c>
      <c r="T152" s="69" t="s">
        <v>851</v>
      </c>
      <c r="U152" s="69" t="s">
        <v>852</v>
      </c>
      <c r="V152" s="40">
        <v>404.0</v>
      </c>
      <c r="W152" s="40">
        <v>115016.0</v>
      </c>
      <c r="X152" s="64"/>
      <c r="Y152" s="40">
        <v>113752.0</v>
      </c>
      <c r="Z152" s="40">
        <v>98.901</v>
      </c>
      <c r="AA152" s="40">
        <v>1264.0</v>
      </c>
      <c r="AB152" s="40">
        <v>1.099</v>
      </c>
      <c r="AC152" s="40">
        <v>0.0</v>
      </c>
      <c r="AD152" s="40">
        <v>0.0</v>
      </c>
      <c r="AE152" s="40">
        <v>0.0</v>
      </c>
      <c r="AF152" s="40">
        <v>0.0</v>
      </c>
      <c r="AG152" s="40">
        <v>1982.45</v>
      </c>
      <c r="AH152" s="40">
        <v>4745.0</v>
      </c>
      <c r="AI152" s="40">
        <v>13002.0</v>
      </c>
      <c r="AJ152" s="40">
        <v>1984.19806417341</v>
      </c>
      <c r="AK152" s="40">
        <v>13003.500278</v>
      </c>
      <c r="AL152" s="41">
        <v>3.0</v>
      </c>
      <c r="AM152" s="40">
        <v>159.0</v>
      </c>
      <c r="AN152" s="40">
        <v>53.0</v>
      </c>
      <c r="AO152" s="40">
        <v>2.502</v>
      </c>
      <c r="AP152" s="40">
        <v>2502.0</v>
      </c>
      <c r="AQ152" s="40">
        <v>1078.8164</v>
      </c>
      <c r="AR152" s="40">
        <v>47.2</v>
      </c>
      <c r="AS152" s="40">
        <v>47.2</v>
      </c>
      <c r="AT152" s="40">
        <v>3128.0</v>
      </c>
      <c r="AU152" s="40">
        <v>1349.0</v>
      </c>
      <c r="AV152" s="40">
        <v>1626.0</v>
      </c>
      <c r="AW152" s="40">
        <v>701.0</v>
      </c>
      <c r="AX152" s="64"/>
      <c r="AY152" s="66" t="s">
        <v>959</v>
      </c>
      <c r="AZ152" s="64"/>
      <c r="BA152" s="64"/>
      <c r="BB152" s="64"/>
      <c r="BC152" s="40">
        <v>1000.0</v>
      </c>
      <c r="BD152" s="40">
        <v>3.0</v>
      </c>
      <c r="BE152" s="40">
        <v>1000.0</v>
      </c>
      <c r="BF152" s="69" t="s">
        <v>370</v>
      </c>
      <c r="BG152" s="69" t="s">
        <v>563</v>
      </c>
      <c r="BH152" s="69" t="s">
        <v>487</v>
      </c>
      <c r="BI152" s="70" t="s">
        <v>373</v>
      </c>
    </row>
    <row r="153" ht="22.5" customHeight="1">
      <c r="A153" s="75" t="s">
        <v>960</v>
      </c>
      <c r="B153" s="68" t="s">
        <v>961</v>
      </c>
      <c r="C153" s="58" t="s">
        <v>9</v>
      </c>
      <c r="D153" s="58" t="s">
        <v>919</v>
      </c>
      <c r="E153" s="68" t="s">
        <v>962</v>
      </c>
      <c r="F153" s="68" t="s">
        <v>961</v>
      </c>
      <c r="G153" s="52">
        <v>140.0</v>
      </c>
      <c r="H153" s="52">
        <v>15632.069</v>
      </c>
      <c r="I153" s="52">
        <v>64.7688</v>
      </c>
      <c r="J153" s="52">
        <v>17.9125</v>
      </c>
      <c r="K153" s="52">
        <v>0.9633</v>
      </c>
      <c r="L153" s="52">
        <v>341.3906</v>
      </c>
      <c r="M153" s="59"/>
      <c r="N153" s="59"/>
      <c r="O153" s="52">
        <v>37.4667</v>
      </c>
      <c r="P153" s="52">
        <v>36.8333</v>
      </c>
      <c r="Q153" s="59"/>
      <c r="R153" s="68" t="s">
        <v>849</v>
      </c>
      <c r="S153" s="68" t="s">
        <v>850</v>
      </c>
      <c r="T153" s="68" t="s">
        <v>851</v>
      </c>
      <c r="U153" s="68" t="s">
        <v>852</v>
      </c>
      <c r="V153" s="52">
        <v>674.0</v>
      </c>
      <c r="W153" s="52">
        <v>59545.0</v>
      </c>
      <c r="X153" s="59"/>
      <c r="Y153" s="52">
        <v>56431.0</v>
      </c>
      <c r="Z153" s="52">
        <v>94.7703</v>
      </c>
      <c r="AA153" s="52">
        <v>3114.0</v>
      </c>
      <c r="AB153" s="52">
        <v>5.2297</v>
      </c>
      <c r="AC153" s="52">
        <v>218.0</v>
      </c>
      <c r="AD153" s="52">
        <v>0.3661</v>
      </c>
      <c r="AE153" s="52">
        <v>0.0</v>
      </c>
      <c r="AF153" s="52">
        <v>0.0</v>
      </c>
      <c r="AG153" s="52">
        <v>1806.87</v>
      </c>
      <c r="AH153" s="52">
        <v>7237.8</v>
      </c>
      <c r="AI153" s="52">
        <v>15045.0</v>
      </c>
      <c r="AJ153" s="52">
        <v>1808.70089580219</v>
      </c>
      <c r="AK153" s="52">
        <v>15052.380267</v>
      </c>
      <c r="AL153" s="53">
        <v>3.0</v>
      </c>
      <c r="AM153" s="52">
        <v>202.0</v>
      </c>
      <c r="AN153" s="52">
        <v>67.33</v>
      </c>
      <c r="AO153" s="52">
        <v>2.5015</v>
      </c>
      <c r="AP153" s="52">
        <v>2501.5</v>
      </c>
      <c r="AQ153" s="52">
        <v>1046.6719</v>
      </c>
      <c r="AR153" s="59"/>
      <c r="AS153" s="59"/>
      <c r="AT153" s="52">
        <v>3127.0</v>
      </c>
      <c r="AU153" s="52">
        <v>1308.0</v>
      </c>
      <c r="AV153" s="52">
        <v>1626.0</v>
      </c>
      <c r="AW153" s="52">
        <v>680.0</v>
      </c>
      <c r="AX153" s="59"/>
      <c r="AY153" s="60" t="s">
        <v>963</v>
      </c>
      <c r="AZ153" s="59"/>
      <c r="BA153" s="59"/>
      <c r="BB153" s="59"/>
      <c r="BC153" s="52">
        <v>1000.0</v>
      </c>
      <c r="BD153" s="52">
        <v>3.0</v>
      </c>
      <c r="BE153" s="52">
        <v>1000.0</v>
      </c>
      <c r="BF153" s="68" t="s">
        <v>370</v>
      </c>
      <c r="BG153" s="68" t="s">
        <v>563</v>
      </c>
      <c r="BH153" s="68" t="s">
        <v>487</v>
      </c>
      <c r="BI153" s="71" t="s">
        <v>373</v>
      </c>
    </row>
    <row r="154" ht="22.5" customHeight="1">
      <c r="A154" s="76" t="s">
        <v>964</v>
      </c>
      <c r="B154" s="69" t="s">
        <v>965</v>
      </c>
      <c r="C154" s="62" t="s">
        <v>9</v>
      </c>
      <c r="D154" s="62" t="s">
        <v>948</v>
      </c>
      <c r="E154" s="69" t="s">
        <v>966</v>
      </c>
      <c r="F154" s="69" t="s">
        <v>965</v>
      </c>
      <c r="G154" s="40">
        <v>60.0</v>
      </c>
      <c r="H154" s="40">
        <v>1971.6667</v>
      </c>
      <c r="I154" s="40">
        <v>47.5979</v>
      </c>
      <c r="J154" s="40">
        <v>5.955</v>
      </c>
      <c r="K154" s="40">
        <v>0.5417</v>
      </c>
      <c r="L154" s="40">
        <v>29.4258</v>
      </c>
      <c r="M154" s="64"/>
      <c r="N154" s="64"/>
      <c r="O154" s="40">
        <v>9.5667</v>
      </c>
      <c r="P154" s="40">
        <v>9.5</v>
      </c>
      <c r="Q154" s="64"/>
      <c r="R154" s="69" t="s">
        <v>849</v>
      </c>
      <c r="S154" s="69" t="s">
        <v>850</v>
      </c>
      <c r="T154" s="69" t="s">
        <v>851</v>
      </c>
      <c r="U154" s="69" t="s">
        <v>852</v>
      </c>
      <c r="V154" s="40">
        <v>220.0</v>
      </c>
      <c r="W154" s="40">
        <v>9899.0</v>
      </c>
      <c r="X154" s="64"/>
      <c r="Y154" s="40">
        <v>9899.0</v>
      </c>
      <c r="Z154" s="40">
        <v>100.0</v>
      </c>
      <c r="AA154" s="40">
        <v>0.0</v>
      </c>
      <c r="AB154" s="40">
        <v>0.0</v>
      </c>
      <c r="AC154" s="40">
        <v>0.0</v>
      </c>
      <c r="AD154" s="40">
        <v>0.0</v>
      </c>
      <c r="AE154" s="40">
        <v>0.0</v>
      </c>
      <c r="AF154" s="40">
        <v>0.0</v>
      </c>
      <c r="AG154" s="40">
        <v>81.06</v>
      </c>
      <c r="AH154" s="40">
        <v>97.0</v>
      </c>
      <c r="AI154" s="40">
        <v>5089.0</v>
      </c>
      <c r="AJ154" s="40">
        <v>82.8262025296496</v>
      </c>
      <c r="AK154" s="40">
        <v>5090.508021</v>
      </c>
      <c r="AL154" s="41">
        <v>6.0</v>
      </c>
      <c r="AM154" s="40">
        <v>63.0</v>
      </c>
      <c r="AN154" s="40">
        <v>10.5</v>
      </c>
      <c r="AO154" s="40">
        <v>2.4642</v>
      </c>
      <c r="AP154" s="40">
        <v>2464.2</v>
      </c>
      <c r="AQ154" s="40">
        <v>699.3008</v>
      </c>
      <c r="AR154" s="64"/>
      <c r="AS154" s="64"/>
      <c r="AT154" s="40">
        <v>3080.0</v>
      </c>
      <c r="AU154" s="40">
        <v>874.0</v>
      </c>
      <c r="AV154" s="40">
        <v>1602.0</v>
      </c>
      <c r="AW154" s="40">
        <v>455.0</v>
      </c>
      <c r="AX154" s="64"/>
      <c r="AY154" s="66" t="s">
        <v>967</v>
      </c>
      <c r="AZ154" s="64"/>
      <c r="BA154" s="64"/>
      <c r="BB154" s="64"/>
      <c r="BC154" s="40">
        <v>1000.0</v>
      </c>
      <c r="BD154" s="40">
        <v>3.0</v>
      </c>
      <c r="BE154" s="40">
        <v>1000.0</v>
      </c>
      <c r="BF154" s="69" t="s">
        <v>370</v>
      </c>
      <c r="BG154" s="69" t="s">
        <v>563</v>
      </c>
      <c r="BH154" s="69" t="s">
        <v>487</v>
      </c>
      <c r="BI154" s="70" t="s">
        <v>373</v>
      </c>
    </row>
    <row r="155" ht="22.5" customHeight="1">
      <c r="A155" s="75" t="s">
        <v>968</v>
      </c>
      <c r="B155" s="68" t="s">
        <v>969</v>
      </c>
      <c r="C155" s="58" t="s">
        <v>9</v>
      </c>
      <c r="D155" s="58" t="s">
        <v>914</v>
      </c>
      <c r="E155" s="68" t="s">
        <v>970</v>
      </c>
      <c r="F155" s="68" t="s">
        <v>969</v>
      </c>
      <c r="G155" s="52">
        <v>120.0</v>
      </c>
      <c r="H155" s="52">
        <v>20145.6</v>
      </c>
      <c r="I155" s="52">
        <v>47.9683</v>
      </c>
      <c r="J155" s="52">
        <v>8.8253</v>
      </c>
      <c r="K155" s="52">
        <v>1.4433</v>
      </c>
      <c r="L155" s="52">
        <v>33.5117</v>
      </c>
      <c r="M155" s="59"/>
      <c r="N155" s="59"/>
      <c r="O155" s="52">
        <v>21.2645</v>
      </c>
      <c r="P155" s="52">
        <v>21.2645</v>
      </c>
      <c r="Q155" s="59"/>
      <c r="R155" s="68" t="s">
        <v>849</v>
      </c>
      <c r="S155" s="68" t="s">
        <v>850</v>
      </c>
      <c r="T155" s="68" t="s">
        <v>851</v>
      </c>
      <c r="U155" s="68" t="s">
        <v>852</v>
      </c>
      <c r="V155" s="52">
        <v>220.0</v>
      </c>
      <c r="W155" s="52">
        <v>115201.0</v>
      </c>
      <c r="X155" s="59"/>
      <c r="Y155" s="52">
        <v>115201.0</v>
      </c>
      <c r="Z155" s="52">
        <v>100.0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93.74</v>
      </c>
      <c r="AH155" s="52">
        <v>156.0</v>
      </c>
      <c r="AI155" s="52">
        <v>5183.0</v>
      </c>
      <c r="AJ155" s="52">
        <v>95.27449249351974</v>
      </c>
      <c r="AK155" s="52">
        <v>5184.796143</v>
      </c>
      <c r="AL155" s="53">
        <v>6.0</v>
      </c>
      <c r="AM155" s="52">
        <v>145.0</v>
      </c>
      <c r="AN155" s="52">
        <v>24.17</v>
      </c>
      <c r="AO155" s="52">
        <v>2.4694</v>
      </c>
      <c r="AP155" s="52">
        <v>2469.4</v>
      </c>
      <c r="AQ155" s="52">
        <v>699.3008</v>
      </c>
      <c r="AR155" s="59"/>
      <c r="AS155" s="59"/>
      <c r="AT155" s="52">
        <v>3087.0</v>
      </c>
      <c r="AU155" s="52">
        <v>874.0</v>
      </c>
      <c r="AV155" s="52">
        <v>1605.0</v>
      </c>
      <c r="AW155" s="52">
        <v>455.0</v>
      </c>
      <c r="AX155" s="59"/>
      <c r="AY155" s="60" t="s">
        <v>971</v>
      </c>
      <c r="AZ155" s="59"/>
      <c r="BA155" s="59"/>
      <c r="BB155" s="59"/>
      <c r="BC155" s="52">
        <v>1000.0</v>
      </c>
      <c r="BD155" s="52">
        <v>3.0</v>
      </c>
      <c r="BE155" s="52">
        <v>1000.0</v>
      </c>
      <c r="BF155" s="68" t="s">
        <v>370</v>
      </c>
      <c r="BG155" s="68" t="s">
        <v>563</v>
      </c>
      <c r="BH155" s="68" t="s">
        <v>487</v>
      </c>
      <c r="BI155" s="71" t="s">
        <v>373</v>
      </c>
    </row>
    <row r="156" ht="22.5" customHeight="1">
      <c r="A156" s="76" t="s">
        <v>972</v>
      </c>
      <c r="B156" s="69" t="s">
        <v>973</v>
      </c>
      <c r="C156" s="62" t="s">
        <v>9</v>
      </c>
      <c r="D156" s="62" t="s">
        <v>919</v>
      </c>
      <c r="E156" s="69" t="s">
        <v>974</v>
      </c>
      <c r="F156" s="69" t="s">
        <v>973</v>
      </c>
      <c r="G156" s="40">
        <v>140.0</v>
      </c>
      <c r="H156" s="40">
        <v>10712.069</v>
      </c>
      <c r="I156" s="40">
        <v>43.5652</v>
      </c>
      <c r="J156" s="40">
        <v>8.138</v>
      </c>
      <c r="K156" s="40">
        <v>1.5042</v>
      </c>
      <c r="L156" s="40">
        <v>19.2539</v>
      </c>
      <c r="M156" s="64"/>
      <c r="N156" s="64"/>
      <c r="O156" s="40">
        <v>22.5</v>
      </c>
      <c r="P156" s="40">
        <v>22.5</v>
      </c>
      <c r="Q156" s="64"/>
      <c r="R156" s="69" t="s">
        <v>849</v>
      </c>
      <c r="S156" s="69" t="s">
        <v>850</v>
      </c>
      <c r="T156" s="69" t="s">
        <v>851</v>
      </c>
      <c r="U156" s="69" t="s">
        <v>852</v>
      </c>
      <c r="V156" s="40">
        <v>220.0</v>
      </c>
      <c r="W156" s="40">
        <v>59999.0</v>
      </c>
      <c r="X156" s="64"/>
      <c r="Y156" s="40">
        <v>59999.0</v>
      </c>
      <c r="Z156" s="40">
        <v>100.0</v>
      </c>
      <c r="AA156" s="40">
        <v>0.0</v>
      </c>
      <c r="AB156" s="40">
        <v>0.0</v>
      </c>
      <c r="AC156" s="40">
        <v>0.0</v>
      </c>
      <c r="AD156" s="40">
        <v>0.0</v>
      </c>
      <c r="AE156" s="40">
        <v>0.0</v>
      </c>
      <c r="AF156" s="40">
        <v>0.0</v>
      </c>
      <c r="AG156" s="40">
        <v>87.01</v>
      </c>
      <c r="AH156" s="40">
        <v>137.0</v>
      </c>
      <c r="AI156" s="40">
        <v>5087.0</v>
      </c>
      <c r="AJ156" s="40">
        <v>88.63026110555163</v>
      </c>
      <c r="AK156" s="40">
        <v>5088.190806</v>
      </c>
      <c r="AL156" s="41">
        <v>6.0</v>
      </c>
      <c r="AM156" s="40">
        <v>150.0</v>
      </c>
      <c r="AN156" s="40">
        <v>25.0</v>
      </c>
      <c r="AO156" s="40">
        <v>2.426</v>
      </c>
      <c r="AP156" s="40">
        <v>2426.0</v>
      </c>
      <c r="AQ156" s="40">
        <v>681.5508</v>
      </c>
      <c r="AR156" s="64"/>
      <c r="AS156" s="64"/>
      <c r="AT156" s="40">
        <v>3033.0</v>
      </c>
      <c r="AU156" s="40">
        <v>852.0</v>
      </c>
      <c r="AV156" s="40">
        <v>1577.0</v>
      </c>
      <c r="AW156" s="40">
        <v>443.0</v>
      </c>
      <c r="AX156" s="64"/>
      <c r="AY156" s="66" t="s">
        <v>975</v>
      </c>
      <c r="AZ156" s="64"/>
      <c r="BA156" s="64"/>
      <c r="BB156" s="64"/>
      <c r="BC156" s="40">
        <v>1000.0</v>
      </c>
      <c r="BD156" s="40">
        <v>3.0</v>
      </c>
      <c r="BE156" s="40">
        <v>1000.0</v>
      </c>
      <c r="BF156" s="69" t="s">
        <v>370</v>
      </c>
      <c r="BG156" s="69" t="s">
        <v>563</v>
      </c>
      <c r="BH156" s="69" t="s">
        <v>487</v>
      </c>
      <c r="BI156" s="70" t="s">
        <v>373</v>
      </c>
    </row>
    <row r="157" ht="22.5" customHeight="1">
      <c r="A157" s="75" t="s">
        <v>976</v>
      </c>
      <c r="B157" s="68" t="s">
        <v>977</v>
      </c>
      <c r="C157" s="58" t="s">
        <v>9</v>
      </c>
      <c r="D157" s="58" t="s">
        <v>948</v>
      </c>
      <c r="E157" s="68" t="s">
        <v>978</v>
      </c>
      <c r="F157" s="68" t="s">
        <v>977</v>
      </c>
      <c r="G157" s="52">
        <v>60.0</v>
      </c>
      <c r="H157" s="52">
        <v>1357.6389</v>
      </c>
      <c r="I157" s="52">
        <v>1.1097</v>
      </c>
      <c r="J157" s="52">
        <v>0.0573</v>
      </c>
      <c r="K157" s="52">
        <v>0.6917</v>
      </c>
      <c r="L157" s="52">
        <v>46.9844</v>
      </c>
      <c r="M157" s="59"/>
      <c r="N157" s="59"/>
      <c r="O157" s="52">
        <v>6.2</v>
      </c>
      <c r="P157" s="52">
        <v>6.4667</v>
      </c>
      <c r="Q157" s="59"/>
      <c r="R157" s="68" t="s">
        <v>849</v>
      </c>
      <c r="S157" s="68" t="s">
        <v>850</v>
      </c>
      <c r="T157" s="68" t="s">
        <v>851</v>
      </c>
      <c r="U157" s="68" t="s">
        <v>852</v>
      </c>
      <c r="V157" s="52">
        <v>220.0</v>
      </c>
      <c r="W157" s="52">
        <v>9899.0</v>
      </c>
      <c r="X157" s="59"/>
      <c r="Y157" s="52">
        <v>9899.0</v>
      </c>
      <c r="Z157" s="52">
        <v>100.0</v>
      </c>
      <c r="AA157" s="52">
        <v>0.0</v>
      </c>
      <c r="AB157" s="52">
        <v>0.0</v>
      </c>
      <c r="AC157" s="52">
        <v>0.0</v>
      </c>
      <c r="AD157" s="52">
        <v>0.0</v>
      </c>
      <c r="AE157" s="52">
        <v>0.0</v>
      </c>
      <c r="AF157" s="52">
        <v>0.0</v>
      </c>
      <c r="AG157" s="52">
        <v>76.1</v>
      </c>
      <c r="AH157" s="52">
        <v>96.0</v>
      </c>
      <c r="AI157" s="52">
        <v>5031.0</v>
      </c>
      <c r="AJ157" s="52">
        <v>77.91970550762724</v>
      </c>
      <c r="AK157" s="52">
        <v>5033.580449</v>
      </c>
      <c r="AL157" s="53">
        <v>9.0</v>
      </c>
      <c r="AM157" s="52">
        <v>61.0</v>
      </c>
      <c r="AN157" s="52">
        <v>6.78</v>
      </c>
      <c r="AO157" s="52">
        <v>1.7533</v>
      </c>
      <c r="AP157" s="52">
        <v>1753.3</v>
      </c>
      <c r="AQ157" s="52">
        <v>715.2148</v>
      </c>
      <c r="AR157" s="59"/>
      <c r="AS157" s="59"/>
      <c r="AT157" s="52">
        <v>2192.0</v>
      </c>
      <c r="AU157" s="52">
        <v>894.0</v>
      </c>
      <c r="AV157" s="52">
        <v>1140.0</v>
      </c>
      <c r="AW157" s="52">
        <v>465.0</v>
      </c>
      <c r="AX157" s="59"/>
      <c r="AY157" s="60" t="s">
        <v>979</v>
      </c>
      <c r="AZ157" s="59"/>
      <c r="BA157" s="59"/>
      <c r="BB157" s="59"/>
      <c r="BC157" s="52">
        <v>1000.0</v>
      </c>
      <c r="BD157" s="52">
        <v>3.0</v>
      </c>
      <c r="BE157" s="52">
        <v>1000.0</v>
      </c>
      <c r="BF157" s="68" t="s">
        <v>370</v>
      </c>
      <c r="BG157" s="68" t="s">
        <v>563</v>
      </c>
      <c r="BH157" s="68" t="s">
        <v>487</v>
      </c>
      <c r="BI157" s="71" t="s">
        <v>373</v>
      </c>
    </row>
    <row r="158" ht="22.5" customHeight="1">
      <c r="A158" s="76" t="s">
        <v>980</v>
      </c>
      <c r="B158" s="69" t="s">
        <v>981</v>
      </c>
      <c r="C158" s="62" t="s">
        <v>9</v>
      </c>
      <c r="D158" s="62" t="s">
        <v>914</v>
      </c>
      <c r="E158" s="69" t="s">
        <v>982</v>
      </c>
      <c r="F158" s="69" t="s">
        <v>981</v>
      </c>
      <c r="G158" s="40">
        <v>120.0</v>
      </c>
      <c r="H158" s="40">
        <v>19703.8174</v>
      </c>
      <c r="I158" s="40">
        <v>73.1495</v>
      </c>
      <c r="J158" s="40">
        <v>6.8698</v>
      </c>
      <c r="K158" s="40">
        <v>1.2583</v>
      </c>
      <c r="L158" s="40">
        <v>490.2852</v>
      </c>
      <c r="M158" s="64"/>
      <c r="N158" s="64"/>
      <c r="O158" s="40">
        <v>21.4667</v>
      </c>
      <c r="P158" s="40">
        <v>21.4667</v>
      </c>
      <c r="Q158" s="64"/>
      <c r="R158" s="69" t="s">
        <v>849</v>
      </c>
      <c r="S158" s="69" t="s">
        <v>850</v>
      </c>
      <c r="T158" s="69" t="s">
        <v>851</v>
      </c>
      <c r="U158" s="69" t="s">
        <v>852</v>
      </c>
      <c r="V158" s="40">
        <v>220.0</v>
      </c>
      <c r="W158" s="40">
        <v>115200.0</v>
      </c>
      <c r="X158" s="64"/>
      <c r="Y158" s="40">
        <v>115200.0</v>
      </c>
      <c r="Z158" s="40">
        <v>100.0</v>
      </c>
      <c r="AA158" s="40">
        <v>0.0</v>
      </c>
      <c r="AB158" s="40">
        <v>0.0</v>
      </c>
      <c r="AC158" s="40">
        <v>0.0</v>
      </c>
      <c r="AD158" s="40">
        <v>0.0</v>
      </c>
      <c r="AE158" s="40">
        <v>0.0</v>
      </c>
      <c r="AF158" s="40">
        <v>0.0</v>
      </c>
      <c r="AG158" s="40">
        <v>86.0</v>
      </c>
      <c r="AH158" s="40">
        <v>158.0</v>
      </c>
      <c r="AI158" s="40">
        <v>7110.0</v>
      </c>
      <c r="AJ158" s="40">
        <v>87.59195422415874</v>
      </c>
      <c r="AK158" s="40">
        <v>7111.018427</v>
      </c>
      <c r="AL158" s="41">
        <v>6.0</v>
      </c>
      <c r="AM158" s="40">
        <v>171.0</v>
      </c>
      <c r="AN158" s="40">
        <v>28.5</v>
      </c>
      <c r="AO158" s="40">
        <v>2.4807</v>
      </c>
      <c r="AP158" s="40">
        <v>2480.7</v>
      </c>
      <c r="AQ158" s="40">
        <v>1040.1055</v>
      </c>
      <c r="AR158" s="40">
        <v>63.3</v>
      </c>
      <c r="AS158" s="40">
        <v>27.5</v>
      </c>
      <c r="AT158" s="40">
        <v>3101.0</v>
      </c>
      <c r="AU158" s="40">
        <v>1300.0</v>
      </c>
      <c r="AV158" s="40">
        <v>1612.0</v>
      </c>
      <c r="AW158" s="40">
        <v>676.0</v>
      </c>
      <c r="AX158" s="64"/>
      <c r="AY158" s="66" t="s">
        <v>983</v>
      </c>
      <c r="AZ158" s="64"/>
      <c r="BA158" s="64"/>
      <c r="BB158" s="64"/>
      <c r="BC158" s="40">
        <v>1000.0</v>
      </c>
      <c r="BD158" s="40">
        <v>3.0</v>
      </c>
      <c r="BE158" s="40">
        <v>1000.0</v>
      </c>
      <c r="BF158" s="69" t="s">
        <v>370</v>
      </c>
      <c r="BG158" s="69" t="s">
        <v>563</v>
      </c>
      <c r="BH158" s="69" t="s">
        <v>465</v>
      </c>
      <c r="BI158" s="70" t="s">
        <v>373</v>
      </c>
    </row>
    <row r="159" ht="22.5" customHeight="1">
      <c r="A159" s="75" t="s">
        <v>984</v>
      </c>
      <c r="B159" s="68" t="s">
        <v>985</v>
      </c>
      <c r="C159" s="58" t="s">
        <v>9</v>
      </c>
      <c r="D159" s="58" t="s">
        <v>914</v>
      </c>
      <c r="E159" s="68" t="s">
        <v>986</v>
      </c>
      <c r="F159" s="68" t="s">
        <v>985</v>
      </c>
      <c r="G159" s="52">
        <v>120.0</v>
      </c>
      <c r="H159" s="52">
        <v>13212.9086</v>
      </c>
      <c r="I159" s="52">
        <v>46.9289</v>
      </c>
      <c r="J159" s="52">
        <v>3.0892</v>
      </c>
      <c r="K159" s="52">
        <v>1.2583</v>
      </c>
      <c r="L159" s="52">
        <v>62.1719</v>
      </c>
      <c r="M159" s="59"/>
      <c r="N159" s="59"/>
      <c r="O159" s="52">
        <v>20.3</v>
      </c>
      <c r="P159" s="52">
        <v>20.3</v>
      </c>
      <c r="Q159" s="59"/>
      <c r="R159" s="68" t="s">
        <v>849</v>
      </c>
      <c r="S159" s="68" t="s">
        <v>850</v>
      </c>
      <c r="T159" s="68" t="s">
        <v>851</v>
      </c>
      <c r="U159" s="68" t="s">
        <v>852</v>
      </c>
      <c r="V159" s="52">
        <v>220.0</v>
      </c>
      <c r="W159" s="52">
        <v>115201.0</v>
      </c>
      <c r="X159" s="59"/>
      <c r="Y159" s="52">
        <v>115201.0</v>
      </c>
      <c r="Z159" s="52">
        <v>100.0</v>
      </c>
      <c r="AA159" s="52">
        <v>0.0</v>
      </c>
      <c r="AB159" s="52">
        <v>0.0</v>
      </c>
      <c r="AC159" s="52">
        <v>0.0</v>
      </c>
      <c r="AD159" s="52">
        <v>0.0</v>
      </c>
      <c r="AE159" s="52">
        <v>0.0</v>
      </c>
      <c r="AF159" s="52">
        <v>0.0</v>
      </c>
      <c r="AG159" s="52">
        <v>79.42</v>
      </c>
      <c r="AH159" s="52">
        <v>101.0</v>
      </c>
      <c r="AI159" s="52">
        <v>5101.0</v>
      </c>
      <c r="AJ159" s="52">
        <v>81.51723867303204</v>
      </c>
      <c r="AK159" s="52">
        <v>5102.819278</v>
      </c>
      <c r="AL159" s="53">
        <v>9.0</v>
      </c>
      <c r="AM159" s="52">
        <v>133.0</v>
      </c>
      <c r="AN159" s="52">
        <v>14.78</v>
      </c>
      <c r="AO159" s="52">
        <v>2.4614</v>
      </c>
      <c r="AP159" s="52">
        <v>2461.4</v>
      </c>
      <c r="AQ159" s="52">
        <v>784.332</v>
      </c>
      <c r="AR159" s="52">
        <v>62.5</v>
      </c>
      <c r="AS159" s="52">
        <v>30.0</v>
      </c>
      <c r="AT159" s="52">
        <v>3077.0</v>
      </c>
      <c r="AU159" s="52">
        <v>980.0</v>
      </c>
      <c r="AV159" s="52">
        <v>1600.0</v>
      </c>
      <c r="AW159" s="52">
        <v>510.0</v>
      </c>
      <c r="AX159" s="59"/>
      <c r="AY159" s="60" t="s">
        <v>987</v>
      </c>
      <c r="AZ159" s="59"/>
      <c r="BA159" s="59"/>
      <c r="BB159" s="59"/>
      <c r="BC159" s="52">
        <v>1000.0</v>
      </c>
      <c r="BD159" s="52">
        <v>3.0</v>
      </c>
      <c r="BE159" s="52">
        <v>1000.0</v>
      </c>
      <c r="BF159" s="68" t="s">
        <v>370</v>
      </c>
      <c r="BG159" s="68" t="s">
        <v>563</v>
      </c>
      <c r="BH159" s="68" t="s">
        <v>465</v>
      </c>
      <c r="BI159" s="71" t="s">
        <v>373</v>
      </c>
    </row>
    <row r="160" ht="22.5" customHeight="1">
      <c r="A160" s="76" t="s">
        <v>988</v>
      </c>
      <c r="B160" s="69" t="s">
        <v>989</v>
      </c>
      <c r="C160" s="62" t="s">
        <v>9</v>
      </c>
      <c r="D160" s="62" t="s">
        <v>914</v>
      </c>
      <c r="E160" s="69" t="s">
        <v>990</v>
      </c>
      <c r="F160" s="69" t="s">
        <v>989</v>
      </c>
      <c r="G160" s="40">
        <v>120.0</v>
      </c>
      <c r="H160" s="40">
        <v>19801.3403</v>
      </c>
      <c r="I160" s="40">
        <v>30.0487</v>
      </c>
      <c r="J160" s="40">
        <v>4.8741</v>
      </c>
      <c r="K160" s="40">
        <v>1.4225</v>
      </c>
      <c r="L160" s="40">
        <v>254.1094</v>
      </c>
      <c r="M160" s="64"/>
      <c r="N160" s="64"/>
      <c r="O160" s="40">
        <v>21.9667</v>
      </c>
      <c r="P160" s="40">
        <v>21.9667</v>
      </c>
      <c r="Q160" s="64"/>
      <c r="R160" s="69" t="s">
        <v>849</v>
      </c>
      <c r="S160" s="69" t="s">
        <v>850</v>
      </c>
      <c r="T160" s="69" t="s">
        <v>851</v>
      </c>
      <c r="U160" s="69" t="s">
        <v>852</v>
      </c>
      <c r="V160" s="40">
        <v>220.0</v>
      </c>
      <c r="W160" s="40">
        <v>115201.0</v>
      </c>
      <c r="X160" s="64"/>
      <c r="Y160" s="40">
        <v>115201.0</v>
      </c>
      <c r="Z160" s="40">
        <v>100.0</v>
      </c>
      <c r="AA160" s="40">
        <v>0.0</v>
      </c>
      <c r="AB160" s="40">
        <v>0.0</v>
      </c>
      <c r="AC160" s="40">
        <v>0.0</v>
      </c>
      <c r="AD160" s="40">
        <v>0.0</v>
      </c>
      <c r="AE160" s="40">
        <v>0.0</v>
      </c>
      <c r="AF160" s="40">
        <v>0.0</v>
      </c>
      <c r="AG160" s="40">
        <v>80.36</v>
      </c>
      <c r="AH160" s="40">
        <v>111.0</v>
      </c>
      <c r="AI160" s="40">
        <v>5081.0</v>
      </c>
      <c r="AJ160" s="40">
        <v>82.31037674872631</v>
      </c>
      <c r="AK160" s="40">
        <v>5083.424947</v>
      </c>
      <c r="AL160" s="41">
        <v>6.0</v>
      </c>
      <c r="AM160" s="40">
        <v>216.0</v>
      </c>
      <c r="AN160" s="40">
        <v>36.0</v>
      </c>
      <c r="AO160" s="40">
        <v>2.2627</v>
      </c>
      <c r="AP160" s="40">
        <v>2262.7</v>
      </c>
      <c r="AQ160" s="40">
        <v>817.7852</v>
      </c>
      <c r="AR160" s="40">
        <v>54.8</v>
      </c>
      <c r="AS160" s="40">
        <v>56.1</v>
      </c>
      <c r="AT160" s="40">
        <v>2828.0</v>
      </c>
      <c r="AU160" s="40">
        <v>1022.0</v>
      </c>
      <c r="AV160" s="40">
        <v>1471.0</v>
      </c>
      <c r="AW160" s="40">
        <v>532.0</v>
      </c>
      <c r="AX160" s="64"/>
      <c r="AY160" s="66" t="s">
        <v>991</v>
      </c>
      <c r="AZ160" s="64"/>
      <c r="BA160" s="64"/>
      <c r="BB160" s="64"/>
      <c r="BC160" s="40">
        <v>1000.0</v>
      </c>
      <c r="BD160" s="40">
        <v>3.0</v>
      </c>
      <c r="BE160" s="40">
        <v>1000.0</v>
      </c>
      <c r="BF160" s="69" t="s">
        <v>370</v>
      </c>
      <c r="BG160" s="69" t="s">
        <v>388</v>
      </c>
      <c r="BH160" s="69" t="s">
        <v>456</v>
      </c>
      <c r="BI160" s="70" t="s">
        <v>373</v>
      </c>
    </row>
    <row r="161" ht="22.5" customHeight="1">
      <c r="A161" s="75" t="s">
        <v>992</v>
      </c>
      <c r="B161" s="68" t="s">
        <v>993</v>
      </c>
      <c r="C161" s="58" t="s">
        <v>9</v>
      </c>
      <c r="D161" s="58" t="s">
        <v>914</v>
      </c>
      <c r="E161" s="68" t="s">
        <v>994</v>
      </c>
      <c r="F161" s="68" t="s">
        <v>993</v>
      </c>
      <c r="G161" s="52">
        <v>120.0</v>
      </c>
      <c r="H161" s="52">
        <v>13222.2857</v>
      </c>
      <c r="I161" s="52">
        <v>23.69</v>
      </c>
      <c r="J161" s="52">
        <v>4.6961</v>
      </c>
      <c r="K161" s="52">
        <v>0.8806</v>
      </c>
      <c r="L161" s="52">
        <v>35.5586</v>
      </c>
      <c r="M161" s="59"/>
      <c r="N161" s="59"/>
      <c r="O161" s="52">
        <v>21.9667</v>
      </c>
      <c r="P161" s="52">
        <v>21.9667</v>
      </c>
      <c r="Q161" s="59"/>
      <c r="R161" s="68" t="s">
        <v>849</v>
      </c>
      <c r="S161" s="68" t="s">
        <v>850</v>
      </c>
      <c r="T161" s="68" t="s">
        <v>851</v>
      </c>
      <c r="U161" s="68" t="s">
        <v>852</v>
      </c>
      <c r="V161" s="52">
        <v>220.0</v>
      </c>
      <c r="W161" s="52">
        <v>115200.0</v>
      </c>
      <c r="X161" s="59"/>
      <c r="Y161" s="52">
        <v>115200.0</v>
      </c>
      <c r="Z161" s="52">
        <v>100.0</v>
      </c>
      <c r="AA161" s="52">
        <v>0.0</v>
      </c>
      <c r="AB161" s="52">
        <v>0.0</v>
      </c>
      <c r="AC161" s="52">
        <v>0.0</v>
      </c>
      <c r="AD161" s="52">
        <v>0.0</v>
      </c>
      <c r="AE161" s="52">
        <v>0.0</v>
      </c>
      <c r="AF161" s="52">
        <v>0.0</v>
      </c>
      <c r="AG161" s="52">
        <v>72.32</v>
      </c>
      <c r="AH161" s="52">
        <v>90.0</v>
      </c>
      <c r="AI161" s="52">
        <v>5097.0</v>
      </c>
      <c r="AJ161" s="52">
        <v>74.17036431242246</v>
      </c>
      <c r="AK161" s="52">
        <v>5098.524916</v>
      </c>
      <c r="AL161" s="53">
        <v>9.0</v>
      </c>
      <c r="AM161" s="52">
        <v>147.0</v>
      </c>
      <c r="AN161" s="52">
        <v>16.33</v>
      </c>
      <c r="AO161" s="52">
        <v>2.2627</v>
      </c>
      <c r="AP161" s="52">
        <v>2262.7</v>
      </c>
      <c r="AQ161" s="52">
        <v>756.2773</v>
      </c>
      <c r="AR161" s="52">
        <v>42.2</v>
      </c>
      <c r="AS161" s="52">
        <v>58.8</v>
      </c>
      <c r="AT161" s="52">
        <v>2828.0</v>
      </c>
      <c r="AU161" s="52">
        <v>945.0</v>
      </c>
      <c r="AV161" s="52">
        <v>1471.0</v>
      </c>
      <c r="AW161" s="52">
        <v>492.0</v>
      </c>
      <c r="AX161" s="59"/>
      <c r="AY161" s="60" t="s">
        <v>995</v>
      </c>
      <c r="AZ161" s="59"/>
      <c r="BA161" s="59"/>
      <c r="BB161" s="59"/>
      <c r="BC161" s="52">
        <v>1000.0</v>
      </c>
      <c r="BD161" s="52">
        <v>3.0</v>
      </c>
      <c r="BE161" s="52">
        <v>1000.0</v>
      </c>
      <c r="BF161" s="68" t="s">
        <v>370</v>
      </c>
      <c r="BG161" s="68" t="s">
        <v>388</v>
      </c>
      <c r="BH161" s="68" t="s">
        <v>456</v>
      </c>
      <c r="BI161" s="71" t="s">
        <v>373</v>
      </c>
    </row>
    <row r="162" ht="22.5" customHeight="1">
      <c r="A162" s="72" t="s">
        <v>996</v>
      </c>
      <c r="B162" s="69" t="s">
        <v>997</v>
      </c>
      <c r="C162" s="62" t="s">
        <v>9</v>
      </c>
      <c r="D162" s="62" t="s">
        <v>953</v>
      </c>
      <c r="E162" s="69" t="s">
        <v>998</v>
      </c>
      <c r="F162" s="69" t="s">
        <v>997</v>
      </c>
      <c r="G162" s="40">
        <v>100.0</v>
      </c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9" t="s">
        <v>849</v>
      </c>
      <c r="S162" s="69" t="s">
        <v>850</v>
      </c>
      <c r="T162" s="69" t="s">
        <v>851</v>
      </c>
      <c r="U162" s="69" t="s">
        <v>852</v>
      </c>
      <c r="V162" s="40">
        <v>220.0</v>
      </c>
      <c r="W162" s="40">
        <v>96001.0</v>
      </c>
      <c r="X162" s="64"/>
      <c r="Y162" s="40">
        <v>96001.0</v>
      </c>
      <c r="Z162" s="40">
        <v>100.0</v>
      </c>
      <c r="AA162" s="40">
        <v>0.0</v>
      </c>
      <c r="AB162" s="40">
        <v>0.0</v>
      </c>
      <c r="AC162" s="40">
        <v>0.0</v>
      </c>
      <c r="AD162" s="40">
        <v>0.0</v>
      </c>
      <c r="AE162" s="40">
        <v>0.0</v>
      </c>
      <c r="AF162" s="40">
        <v>0.0</v>
      </c>
      <c r="AG162" s="40">
        <v>128.78</v>
      </c>
      <c r="AH162" s="40">
        <v>270.0</v>
      </c>
      <c r="AI162" s="40">
        <v>5394.0</v>
      </c>
      <c r="AJ162" s="40">
        <v>130.7628333543195</v>
      </c>
      <c r="AK162" s="40">
        <v>5395.328813</v>
      </c>
      <c r="AL162" s="41">
        <v>3.0</v>
      </c>
      <c r="AM162" s="40">
        <v>127.0</v>
      </c>
      <c r="AN162" s="40">
        <v>42.33</v>
      </c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6" t="s">
        <v>999</v>
      </c>
      <c r="AZ162" s="64"/>
      <c r="BA162" s="64"/>
      <c r="BB162" s="64"/>
      <c r="BC162" s="40">
        <v>1000.0</v>
      </c>
      <c r="BD162" s="40">
        <v>3.0</v>
      </c>
      <c r="BE162" s="40">
        <v>1000.0</v>
      </c>
      <c r="BF162" s="69" t="s">
        <v>370</v>
      </c>
      <c r="BG162" s="69" t="s">
        <v>388</v>
      </c>
      <c r="BH162" s="69" t="s">
        <v>487</v>
      </c>
      <c r="BI162" s="70" t="s">
        <v>373</v>
      </c>
    </row>
    <row r="163" ht="22.5" customHeight="1">
      <c r="A163" s="75" t="s">
        <v>1000</v>
      </c>
      <c r="B163" s="68" t="s">
        <v>1001</v>
      </c>
      <c r="C163" s="58" t="s">
        <v>9</v>
      </c>
      <c r="D163" s="58" t="s">
        <v>948</v>
      </c>
      <c r="E163" s="68" t="s">
        <v>1002</v>
      </c>
      <c r="F163" s="68" t="s">
        <v>1001</v>
      </c>
      <c r="G163" s="52">
        <v>60.0</v>
      </c>
      <c r="H163" s="52">
        <v>1952.8278</v>
      </c>
      <c r="I163" s="52">
        <v>2.2901</v>
      </c>
      <c r="J163" s="52">
        <v>0.149</v>
      </c>
      <c r="K163" s="52">
        <v>0.345</v>
      </c>
      <c r="L163" s="52">
        <v>188.0273</v>
      </c>
      <c r="M163" s="59"/>
      <c r="N163" s="59"/>
      <c r="O163" s="52">
        <v>9.3667</v>
      </c>
      <c r="P163" s="52">
        <v>9.3667</v>
      </c>
      <c r="Q163" s="59"/>
      <c r="R163" s="68" t="s">
        <v>849</v>
      </c>
      <c r="S163" s="68" t="s">
        <v>850</v>
      </c>
      <c r="T163" s="68" t="s">
        <v>851</v>
      </c>
      <c r="U163" s="68" t="s">
        <v>852</v>
      </c>
      <c r="V163" s="52">
        <v>220.0</v>
      </c>
      <c r="W163" s="52">
        <v>9899.0</v>
      </c>
      <c r="X163" s="59"/>
      <c r="Y163" s="52">
        <v>9899.0</v>
      </c>
      <c r="Z163" s="52">
        <v>100.0</v>
      </c>
      <c r="AA163" s="52">
        <v>0.0</v>
      </c>
      <c r="AB163" s="52">
        <v>0.0</v>
      </c>
      <c r="AC163" s="52">
        <v>0.0</v>
      </c>
      <c r="AD163" s="52">
        <v>0.0</v>
      </c>
      <c r="AE163" s="52">
        <v>0.0</v>
      </c>
      <c r="AF163" s="52">
        <v>0.0</v>
      </c>
      <c r="AG163" s="52">
        <v>74.68</v>
      </c>
      <c r="AH163" s="52">
        <v>91.0</v>
      </c>
      <c r="AI163" s="52">
        <v>5029.0</v>
      </c>
      <c r="AJ163" s="52">
        <v>76.50086830285865</v>
      </c>
      <c r="AK163" s="52">
        <v>5031.063144</v>
      </c>
      <c r="AL163" s="53">
        <v>6.0</v>
      </c>
      <c r="AM163" s="52">
        <v>62.0</v>
      </c>
      <c r="AN163" s="52">
        <v>10.33</v>
      </c>
      <c r="AO163" s="52">
        <v>1.8727</v>
      </c>
      <c r="AP163" s="52">
        <v>1872.7</v>
      </c>
      <c r="AQ163" s="52">
        <v>644.6602</v>
      </c>
      <c r="AR163" s="52">
        <v>32.8</v>
      </c>
      <c r="AS163" s="52">
        <v>35.4</v>
      </c>
      <c r="AT163" s="52">
        <v>2341.0</v>
      </c>
      <c r="AU163" s="52">
        <v>806.0</v>
      </c>
      <c r="AV163" s="52">
        <v>1217.0</v>
      </c>
      <c r="AW163" s="52">
        <v>419.0</v>
      </c>
      <c r="AX163" s="59"/>
      <c r="AY163" s="60" t="s">
        <v>1003</v>
      </c>
      <c r="AZ163" s="59"/>
      <c r="BA163" s="59"/>
      <c r="BB163" s="59"/>
      <c r="BC163" s="52">
        <v>1000.0</v>
      </c>
      <c r="BD163" s="52">
        <v>3.0</v>
      </c>
      <c r="BE163" s="52">
        <v>1000.0</v>
      </c>
      <c r="BF163" s="68" t="s">
        <v>370</v>
      </c>
      <c r="BG163" s="68" t="s">
        <v>388</v>
      </c>
      <c r="BH163" s="68" t="s">
        <v>487</v>
      </c>
      <c r="BI163" s="71" t="s">
        <v>373</v>
      </c>
    </row>
    <row r="164" ht="22.5" customHeight="1">
      <c r="A164" s="76" t="s">
        <v>1004</v>
      </c>
      <c r="B164" s="69" t="s">
        <v>1005</v>
      </c>
      <c r="C164" s="62" t="s">
        <v>9</v>
      </c>
      <c r="D164" s="62" t="s">
        <v>914</v>
      </c>
      <c r="E164" s="69" t="s">
        <v>1006</v>
      </c>
      <c r="F164" s="69" t="s">
        <v>1005</v>
      </c>
      <c r="G164" s="40">
        <v>120.0</v>
      </c>
      <c r="H164" s="40">
        <v>19569.0434</v>
      </c>
      <c r="I164" s="40">
        <v>54.7869</v>
      </c>
      <c r="J164" s="40">
        <v>10.1042</v>
      </c>
      <c r="K164" s="40">
        <v>1.3056</v>
      </c>
      <c r="L164" s="40">
        <v>342.0703</v>
      </c>
      <c r="M164" s="64"/>
      <c r="N164" s="64"/>
      <c r="O164" s="40">
        <v>22.2</v>
      </c>
      <c r="P164" s="40">
        <v>22.2</v>
      </c>
      <c r="Q164" s="64"/>
      <c r="R164" s="69" t="s">
        <v>849</v>
      </c>
      <c r="S164" s="69" t="s">
        <v>850</v>
      </c>
      <c r="T164" s="69" t="s">
        <v>851</v>
      </c>
      <c r="U164" s="69" t="s">
        <v>852</v>
      </c>
      <c r="V164" s="40">
        <v>220.0</v>
      </c>
      <c r="W164" s="40">
        <v>115200.0</v>
      </c>
      <c r="X164" s="64"/>
      <c r="Y164" s="40">
        <v>115200.0</v>
      </c>
      <c r="Z164" s="40">
        <v>100.0</v>
      </c>
      <c r="AA164" s="40">
        <v>0.0</v>
      </c>
      <c r="AB164" s="40">
        <v>0.0</v>
      </c>
      <c r="AC164" s="40">
        <v>0.0</v>
      </c>
      <c r="AD164" s="40">
        <v>0.0</v>
      </c>
      <c r="AE164" s="40">
        <v>0.0</v>
      </c>
      <c r="AF164" s="40">
        <v>0.0</v>
      </c>
      <c r="AG164" s="40">
        <v>98.79</v>
      </c>
      <c r="AH164" s="40">
        <v>166.0</v>
      </c>
      <c r="AI164" s="40">
        <v>5149.0</v>
      </c>
      <c r="AJ164" s="40">
        <v>100.3886640627507</v>
      </c>
      <c r="AK164" s="40">
        <v>5151.376834</v>
      </c>
      <c r="AL164" s="41">
        <v>6.0</v>
      </c>
      <c r="AM164" s="40">
        <v>183.0</v>
      </c>
      <c r="AN164" s="40">
        <v>30.5</v>
      </c>
      <c r="AO164" s="40">
        <v>2.4116</v>
      </c>
      <c r="AP164" s="40">
        <v>2411.6</v>
      </c>
      <c r="AQ164" s="40">
        <v>759.3867</v>
      </c>
      <c r="AR164" s="40">
        <v>47.3</v>
      </c>
      <c r="AS164" s="40">
        <v>39.0</v>
      </c>
      <c r="AT164" s="40">
        <v>3015.0</v>
      </c>
      <c r="AU164" s="40">
        <v>949.0</v>
      </c>
      <c r="AV164" s="40">
        <v>1568.0</v>
      </c>
      <c r="AW164" s="40">
        <v>494.0</v>
      </c>
      <c r="AX164" s="64"/>
      <c r="AY164" s="66" t="s">
        <v>1007</v>
      </c>
      <c r="AZ164" s="64"/>
      <c r="BA164" s="64"/>
      <c r="BB164" s="64"/>
      <c r="BC164" s="40">
        <v>1000.0</v>
      </c>
      <c r="BD164" s="40">
        <v>3.0</v>
      </c>
      <c r="BE164" s="40">
        <v>1000.0</v>
      </c>
      <c r="BF164" s="69" t="s">
        <v>370</v>
      </c>
      <c r="BG164" s="69" t="s">
        <v>388</v>
      </c>
      <c r="BH164" s="69" t="s">
        <v>487</v>
      </c>
      <c r="BI164" s="70" t="s">
        <v>373</v>
      </c>
    </row>
    <row r="165" ht="22.5" customHeight="1">
      <c r="A165" s="75" t="s">
        <v>1008</v>
      </c>
      <c r="B165" s="68" t="s">
        <v>1009</v>
      </c>
      <c r="C165" s="58" t="s">
        <v>9</v>
      </c>
      <c r="D165" s="58" t="s">
        <v>919</v>
      </c>
      <c r="E165" s="68" t="s">
        <v>1010</v>
      </c>
      <c r="F165" s="68" t="s">
        <v>1009</v>
      </c>
      <c r="G165" s="52">
        <v>140.0</v>
      </c>
      <c r="H165" s="52">
        <v>10579.6552</v>
      </c>
      <c r="I165" s="52">
        <v>18.2692</v>
      </c>
      <c r="J165" s="52">
        <v>1.5721</v>
      </c>
      <c r="K165" s="52">
        <v>0.6425</v>
      </c>
      <c r="L165" s="52">
        <v>57.7031</v>
      </c>
      <c r="M165" s="59"/>
      <c r="N165" s="59"/>
      <c r="O165" s="52">
        <v>23.5667</v>
      </c>
      <c r="P165" s="52">
        <v>23.5667</v>
      </c>
      <c r="Q165" s="59"/>
      <c r="R165" s="68" t="s">
        <v>849</v>
      </c>
      <c r="S165" s="68" t="s">
        <v>850</v>
      </c>
      <c r="T165" s="68" t="s">
        <v>851</v>
      </c>
      <c r="U165" s="68" t="s">
        <v>852</v>
      </c>
      <c r="V165" s="52">
        <v>220.0</v>
      </c>
      <c r="W165" s="52">
        <v>59999.0</v>
      </c>
      <c r="X165" s="59"/>
      <c r="Y165" s="52">
        <v>40650.0</v>
      </c>
      <c r="Z165" s="52">
        <v>67.7511</v>
      </c>
      <c r="AA165" s="52">
        <v>19349.0</v>
      </c>
      <c r="AB165" s="52">
        <v>32.2489</v>
      </c>
      <c r="AC165" s="52">
        <v>0.0</v>
      </c>
      <c r="AD165" s="52">
        <v>0.0</v>
      </c>
      <c r="AE165" s="52">
        <v>0.0</v>
      </c>
      <c r="AF165" s="52">
        <v>0.0</v>
      </c>
      <c r="AG165" s="52">
        <v>390.17</v>
      </c>
      <c r="AH165" s="52">
        <v>1038.0</v>
      </c>
      <c r="AI165" s="52">
        <v>6037.0</v>
      </c>
      <c r="AJ165" s="52">
        <v>392.2477998804624</v>
      </c>
      <c r="AK165" s="52">
        <v>6040.264426</v>
      </c>
      <c r="AL165" s="53">
        <v>6.0</v>
      </c>
      <c r="AM165" s="52">
        <v>150.0</v>
      </c>
      <c r="AN165" s="52">
        <v>25.0</v>
      </c>
      <c r="AO165" s="52">
        <v>2.2565</v>
      </c>
      <c r="AP165" s="52">
        <v>2256.5</v>
      </c>
      <c r="AQ165" s="52">
        <v>656.918</v>
      </c>
      <c r="AR165" s="52">
        <v>44.2</v>
      </c>
      <c r="AS165" s="52">
        <v>42.1</v>
      </c>
      <c r="AT165" s="52">
        <v>2821.0</v>
      </c>
      <c r="AU165" s="52">
        <v>821.0</v>
      </c>
      <c r="AV165" s="52">
        <v>1467.0</v>
      </c>
      <c r="AW165" s="52">
        <v>427.0</v>
      </c>
      <c r="AX165" s="59"/>
      <c r="AY165" s="60" t="s">
        <v>1011</v>
      </c>
      <c r="AZ165" s="59"/>
      <c r="BA165" s="59"/>
      <c r="BB165" s="59"/>
      <c r="BC165" s="52">
        <v>1000.0</v>
      </c>
      <c r="BD165" s="52">
        <v>3.0</v>
      </c>
      <c r="BE165" s="52">
        <v>1000.0</v>
      </c>
      <c r="BF165" s="68" t="s">
        <v>370</v>
      </c>
      <c r="BG165" s="68" t="s">
        <v>388</v>
      </c>
      <c r="BH165" s="68" t="s">
        <v>487</v>
      </c>
      <c r="BI165" s="71" t="s">
        <v>373</v>
      </c>
    </row>
    <row r="166" ht="22.5" customHeight="1">
      <c r="A166" s="76" t="s">
        <v>1012</v>
      </c>
      <c r="B166" s="69" t="s">
        <v>1013</v>
      </c>
      <c r="C166" s="62" t="s">
        <v>9</v>
      </c>
      <c r="D166" s="62" t="s">
        <v>948</v>
      </c>
      <c r="E166" s="69" t="s">
        <v>1014</v>
      </c>
      <c r="F166" s="69" t="s">
        <v>1013</v>
      </c>
      <c r="G166" s="40">
        <v>60.0</v>
      </c>
      <c r="H166" s="40">
        <v>1400.75</v>
      </c>
      <c r="I166" s="40">
        <v>9.0255</v>
      </c>
      <c r="J166" s="40">
        <v>1.0005</v>
      </c>
      <c r="K166" s="40">
        <v>0.7044</v>
      </c>
      <c r="L166" s="40">
        <v>18.918</v>
      </c>
      <c r="M166" s="64"/>
      <c r="N166" s="64"/>
      <c r="O166" s="40">
        <v>11.9</v>
      </c>
      <c r="P166" s="40">
        <v>11.9</v>
      </c>
      <c r="Q166" s="64"/>
      <c r="R166" s="69" t="s">
        <v>849</v>
      </c>
      <c r="S166" s="69" t="s">
        <v>850</v>
      </c>
      <c r="T166" s="69" t="s">
        <v>851</v>
      </c>
      <c r="U166" s="69" t="s">
        <v>852</v>
      </c>
      <c r="V166" s="40">
        <v>220.0</v>
      </c>
      <c r="W166" s="40">
        <v>9899.0</v>
      </c>
      <c r="X166" s="64"/>
      <c r="Y166" s="40">
        <v>9899.0</v>
      </c>
      <c r="Z166" s="40">
        <v>100.0</v>
      </c>
      <c r="AA166" s="40">
        <v>0.0</v>
      </c>
      <c r="AB166" s="40">
        <v>0.0</v>
      </c>
      <c r="AC166" s="40">
        <v>0.0</v>
      </c>
      <c r="AD166" s="40">
        <v>0.0</v>
      </c>
      <c r="AE166" s="40">
        <v>0.0</v>
      </c>
      <c r="AF166" s="40">
        <v>0.0</v>
      </c>
      <c r="AG166" s="40">
        <v>75.63</v>
      </c>
      <c r="AH166" s="40">
        <v>85.0</v>
      </c>
      <c r="AI166" s="40">
        <v>5026.0</v>
      </c>
      <c r="AJ166" s="40">
        <v>77.45673194150905</v>
      </c>
      <c r="AK166" s="40">
        <v>5028.162503</v>
      </c>
      <c r="AL166" s="41">
        <v>9.0</v>
      </c>
      <c r="AM166" s="40">
        <v>69.0</v>
      </c>
      <c r="AN166" s="40">
        <v>7.67</v>
      </c>
      <c r="AO166" s="40">
        <v>1.9976</v>
      </c>
      <c r="AP166" s="40">
        <v>1997.6</v>
      </c>
      <c r="AQ166" s="40">
        <v>757.0508</v>
      </c>
      <c r="AR166" s="40">
        <v>33.9</v>
      </c>
      <c r="AS166" s="40">
        <v>53.7</v>
      </c>
      <c r="AT166" s="40">
        <v>2497.0</v>
      </c>
      <c r="AU166" s="40">
        <v>946.0</v>
      </c>
      <c r="AV166" s="40">
        <v>1298.0</v>
      </c>
      <c r="AW166" s="40">
        <v>492.0</v>
      </c>
      <c r="AX166" s="64"/>
      <c r="AY166" s="66" t="s">
        <v>1015</v>
      </c>
      <c r="AZ166" s="64"/>
      <c r="BA166" s="64"/>
      <c r="BB166" s="64"/>
      <c r="BC166" s="40">
        <v>1000.0</v>
      </c>
      <c r="BD166" s="40">
        <v>2.0</v>
      </c>
      <c r="BE166" s="40">
        <v>1000.0</v>
      </c>
      <c r="BF166" s="69" t="s">
        <v>370</v>
      </c>
      <c r="BG166" s="69" t="s">
        <v>388</v>
      </c>
      <c r="BH166" s="69" t="s">
        <v>487</v>
      </c>
      <c r="BI166" s="70" t="s">
        <v>373</v>
      </c>
    </row>
    <row r="167" ht="22.5" customHeight="1">
      <c r="A167" s="75" t="s">
        <v>1016</v>
      </c>
      <c r="B167" s="68" t="s">
        <v>1017</v>
      </c>
      <c r="C167" s="58" t="s">
        <v>9</v>
      </c>
      <c r="D167" s="58" t="s">
        <v>953</v>
      </c>
      <c r="E167" s="68" t="s">
        <v>1018</v>
      </c>
      <c r="F167" s="68" t="s">
        <v>1017</v>
      </c>
      <c r="G167" s="52">
        <v>100.0</v>
      </c>
      <c r="H167" s="52">
        <v>11796.6857</v>
      </c>
      <c r="I167" s="52">
        <v>14.6777</v>
      </c>
      <c r="J167" s="52">
        <v>1.7406</v>
      </c>
      <c r="K167" s="52">
        <v>0.6975</v>
      </c>
      <c r="L167" s="52">
        <v>30.3672</v>
      </c>
      <c r="M167" s="59"/>
      <c r="N167" s="59"/>
      <c r="O167" s="52">
        <v>12.4</v>
      </c>
      <c r="P167" s="52">
        <v>12.4</v>
      </c>
      <c r="Q167" s="59"/>
      <c r="R167" s="68" t="s">
        <v>849</v>
      </c>
      <c r="S167" s="68" t="s">
        <v>850</v>
      </c>
      <c r="T167" s="68" t="s">
        <v>851</v>
      </c>
      <c r="U167" s="68" t="s">
        <v>852</v>
      </c>
      <c r="V167" s="52">
        <v>220.0</v>
      </c>
      <c r="W167" s="52">
        <v>96000.0</v>
      </c>
      <c r="X167" s="59"/>
      <c r="Y167" s="52">
        <v>96000.0</v>
      </c>
      <c r="Z167" s="52">
        <v>100.0</v>
      </c>
      <c r="AA167" s="52">
        <v>0.0</v>
      </c>
      <c r="AB167" s="52">
        <v>0.0</v>
      </c>
      <c r="AC167" s="52">
        <v>0.0</v>
      </c>
      <c r="AD167" s="52">
        <v>0.0</v>
      </c>
      <c r="AE167" s="52">
        <v>0.0</v>
      </c>
      <c r="AF167" s="52">
        <v>0.0</v>
      </c>
      <c r="AG167" s="52">
        <v>77.63</v>
      </c>
      <c r="AH167" s="52">
        <v>98.0</v>
      </c>
      <c r="AI167" s="52">
        <v>5082.0</v>
      </c>
      <c r="AJ167" s="52">
        <v>79.26895298949037</v>
      </c>
      <c r="AK167" s="52">
        <v>5083.523684</v>
      </c>
      <c r="AL167" s="53">
        <v>9.0</v>
      </c>
      <c r="AM167" s="52">
        <v>113.0</v>
      </c>
      <c r="AN167" s="52">
        <v>12.56</v>
      </c>
      <c r="AO167" s="52">
        <v>2.0917</v>
      </c>
      <c r="AP167" s="52">
        <v>2091.7</v>
      </c>
      <c r="AQ167" s="52">
        <v>774.4023</v>
      </c>
      <c r="AR167" s="52">
        <v>50.4</v>
      </c>
      <c r="AS167" s="52">
        <v>53.1</v>
      </c>
      <c r="AT167" s="52">
        <v>2615.0</v>
      </c>
      <c r="AU167" s="52">
        <v>968.0</v>
      </c>
      <c r="AV167" s="52">
        <v>1360.0</v>
      </c>
      <c r="AW167" s="52">
        <v>503.0</v>
      </c>
      <c r="AX167" s="59"/>
      <c r="AY167" s="60" t="s">
        <v>1019</v>
      </c>
      <c r="AZ167" s="59"/>
      <c r="BA167" s="59"/>
      <c r="BB167" s="59"/>
      <c r="BC167" s="52">
        <v>1000.0</v>
      </c>
      <c r="BD167" s="52">
        <v>2.0</v>
      </c>
      <c r="BE167" s="52">
        <v>1000.0</v>
      </c>
      <c r="BF167" s="68" t="s">
        <v>370</v>
      </c>
      <c r="BG167" s="68" t="s">
        <v>388</v>
      </c>
      <c r="BH167" s="68" t="s">
        <v>487</v>
      </c>
      <c r="BI167" s="71" t="s">
        <v>373</v>
      </c>
    </row>
    <row r="168" ht="22.5" customHeight="1">
      <c r="A168" s="76" t="s">
        <v>1020</v>
      </c>
      <c r="B168" s="69" t="s">
        <v>1021</v>
      </c>
      <c r="C168" s="62" t="s">
        <v>9</v>
      </c>
      <c r="D168" s="62" t="s">
        <v>919</v>
      </c>
      <c r="E168" s="69" t="s">
        <v>1022</v>
      </c>
      <c r="F168" s="69" t="s">
        <v>1021</v>
      </c>
      <c r="G168" s="40">
        <v>140.0</v>
      </c>
      <c r="H168" s="40">
        <v>7418.2759</v>
      </c>
      <c r="I168" s="40">
        <v>9.4676</v>
      </c>
      <c r="J168" s="40">
        <v>0.5981</v>
      </c>
      <c r="K168" s="40">
        <v>1.1044</v>
      </c>
      <c r="L168" s="40">
        <v>9.0781</v>
      </c>
      <c r="M168" s="64"/>
      <c r="N168" s="64"/>
      <c r="O168" s="40">
        <v>17.1333</v>
      </c>
      <c r="P168" s="40">
        <v>17.1333</v>
      </c>
      <c r="Q168" s="64"/>
      <c r="R168" s="69" t="s">
        <v>849</v>
      </c>
      <c r="S168" s="69" t="s">
        <v>850</v>
      </c>
      <c r="T168" s="69" t="s">
        <v>851</v>
      </c>
      <c r="U168" s="69" t="s">
        <v>852</v>
      </c>
      <c r="V168" s="40">
        <v>220.0</v>
      </c>
      <c r="W168" s="40">
        <v>59999.0</v>
      </c>
      <c r="X168" s="64"/>
      <c r="Y168" s="40">
        <v>59999.0</v>
      </c>
      <c r="Z168" s="40">
        <v>100.0</v>
      </c>
      <c r="AA168" s="40">
        <v>0.0</v>
      </c>
      <c r="AB168" s="40">
        <v>0.0</v>
      </c>
      <c r="AC168" s="40">
        <v>0.0</v>
      </c>
      <c r="AD168" s="40">
        <v>0.0</v>
      </c>
      <c r="AE168" s="40">
        <v>0.0</v>
      </c>
      <c r="AF168" s="40">
        <v>0.0</v>
      </c>
      <c r="AG168" s="40">
        <v>80.53</v>
      </c>
      <c r="AH168" s="40">
        <v>101.0</v>
      </c>
      <c r="AI168" s="40">
        <v>5075.0</v>
      </c>
      <c r="AJ168" s="40">
        <v>82.21841347379143</v>
      </c>
      <c r="AK168" s="40">
        <v>5076.252989</v>
      </c>
      <c r="AL168" s="41">
        <v>9.0</v>
      </c>
      <c r="AM168" s="40">
        <v>202.0</v>
      </c>
      <c r="AN168" s="40">
        <v>22.44</v>
      </c>
      <c r="AO168" s="40">
        <v>2.028</v>
      </c>
      <c r="AP168" s="40">
        <v>2028.0</v>
      </c>
      <c r="AQ168" s="40">
        <v>746.9766</v>
      </c>
      <c r="AR168" s="40">
        <v>53.2</v>
      </c>
      <c r="AS168" s="40">
        <v>52.6</v>
      </c>
      <c r="AT168" s="40">
        <v>2535.0</v>
      </c>
      <c r="AU168" s="40">
        <v>934.0</v>
      </c>
      <c r="AV168" s="40">
        <v>1318.0</v>
      </c>
      <c r="AW168" s="40">
        <v>486.0</v>
      </c>
      <c r="AX168" s="64"/>
      <c r="AY168" s="66" t="s">
        <v>1023</v>
      </c>
      <c r="AZ168" s="64"/>
      <c r="BA168" s="64"/>
      <c r="BB168" s="64"/>
      <c r="BC168" s="40">
        <v>1000.0</v>
      </c>
      <c r="BD168" s="40">
        <v>2.0</v>
      </c>
      <c r="BE168" s="40">
        <v>1000.0</v>
      </c>
      <c r="BF168" s="69" t="s">
        <v>370</v>
      </c>
      <c r="BG168" s="69" t="s">
        <v>388</v>
      </c>
      <c r="BH168" s="69" t="s">
        <v>487</v>
      </c>
      <c r="BI168" s="70" t="s">
        <v>373</v>
      </c>
    </row>
    <row r="169" ht="22.5" customHeight="1">
      <c r="A169" s="75" t="s">
        <v>1024</v>
      </c>
      <c r="B169" s="68" t="s">
        <v>1025</v>
      </c>
      <c r="C169" s="58" t="s">
        <v>9</v>
      </c>
      <c r="D169" s="58" t="s">
        <v>914</v>
      </c>
      <c r="E169" s="68" t="s">
        <v>1026</v>
      </c>
      <c r="F169" s="68" t="s">
        <v>1025</v>
      </c>
      <c r="G169" s="52">
        <v>120.0</v>
      </c>
      <c r="H169" s="52">
        <v>19925.2589</v>
      </c>
      <c r="I169" s="52">
        <v>80.9859</v>
      </c>
      <c r="J169" s="52">
        <v>7.1819</v>
      </c>
      <c r="K169" s="52">
        <v>0.7119</v>
      </c>
      <c r="L169" s="52">
        <v>931.1641</v>
      </c>
      <c r="M169" s="59"/>
      <c r="N169" s="59"/>
      <c r="O169" s="52">
        <v>21.5667</v>
      </c>
      <c r="P169" s="52">
        <v>21.5667</v>
      </c>
      <c r="Q169" s="59"/>
      <c r="R169" s="68" t="s">
        <v>849</v>
      </c>
      <c r="S169" s="68" t="s">
        <v>850</v>
      </c>
      <c r="T169" s="68" t="s">
        <v>851</v>
      </c>
      <c r="U169" s="68" t="s">
        <v>852</v>
      </c>
      <c r="V169" s="52">
        <v>238.0</v>
      </c>
      <c r="W169" s="52">
        <v>115183.0</v>
      </c>
      <c r="X169" s="59"/>
      <c r="Y169" s="52">
        <v>115183.0</v>
      </c>
      <c r="Z169" s="52">
        <v>100.0</v>
      </c>
      <c r="AA169" s="52">
        <v>0.0</v>
      </c>
      <c r="AB169" s="52">
        <v>0.0</v>
      </c>
      <c r="AC169" s="52">
        <v>0.0</v>
      </c>
      <c r="AD169" s="52">
        <v>0.0</v>
      </c>
      <c r="AE169" s="52">
        <v>0.0</v>
      </c>
      <c r="AF169" s="52">
        <v>0.0</v>
      </c>
      <c r="AG169" s="52">
        <v>86.34</v>
      </c>
      <c r="AH169" s="52">
        <v>160.0</v>
      </c>
      <c r="AI169" s="52">
        <v>5195.0</v>
      </c>
      <c r="AJ169" s="52">
        <v>87.93390945303547</v>
      </c>
      <c r="AK169" s="52">
        <v>5196.072238</v>
      </c>
      <c r="AL169" s="53">
        <v>6.0</v>
      </c>
      <c r="AM169" s="52">
        <v>224.0</v>
      </c>
      <c r="AN169" s="52">
        <v>37.33</v>
      </c>
      <c r="AO169" s="52">
        <v>2.4897</v>
      </c>
      <c r="AP169" s="52">
        <v>2489.7</v>
      </c>
      <c r="AQ169" s="52">
        <v>942.4297</v>
      </c>
      <c r="AR169" s="52">
        <v>43.9</v>
      </c>
      <c r="AS169" s="52">
        <v>27.4</v>
      </c>
      <c r="AT169" s="52">
        <v>3112.0</v>
      </c>
      <c r="AU169" s="52">
        <v>1178.0</v>
      </c>
      <c r="AV169" s="52">
        <v>1618.0</v>
      </c>
      <c r="AW169" s="52">
        <v>613.0</v>
      </c>
      <c r="AX169" s="59"/>
      <c r="AY169" s="60" t="s">
        <v>1027</v>
      </c>
      <c r="AZ169" s="59"/>
      <c r="BA169" s="59"/>
      <c r="BB169" s="59"/>
      <c r="BC169" s="52">
        <v>1000.0</v>
      </c>
      <c r="BD169" s="52">
        <v>3.0</v>
      </c>
      <c r="BE169" s="52">
        <v>1000.0</v>
      </c>
      <c r="BF169" s="68" t="s">
        <v>370</v>
      </c>
      <c r="BG169" s="68" t="s">
        <v>388</v>
      </c>
      <c r="BH169" s="68" t="s">
        <v>465</v>
      </c>
      <c r="BI169" s="71" t="s">
        <v>373</v>
      </c>
    </row>
    <row r="170" ht="22.5" customHeight="1">
      <c r="A170" s="72" t="s">
        <v>1028</v>
      </c>
      <c r="B170" s="69" t="s">
        <v>1029</v>
      </c>
      <c r="C170" s="62" t="s">
        <v>50</v>
      </c>
      <c r="D170" s="62" t="s">
        <v>391</v>
      </c>
      <c r="E170" s="69" t="s">
        <v>1030</v>
      </c>
      <c r="F170" s="69" t="s">
        <v>1029</v>
      </c>
      <c r="G170" s="40">
        <v>130.0</v>
      </c>
      <c r="H170" s="40">
        <v>5257.0</v>
      </c>
      <c r="I170" s="40">
        <v>5.7111</v>
      </c>
      <c r="J170" s="40">
        <v>0.2993</v>
      </c>
      <c r="K170" s="40">
        <v>1.2533</v>
      </c>
      <c r="L170" s="40">
        <v>327.0938</v>
      </c>
      <c r="M170" s="40">
        <v>0.0</v>
      </c>
      <c r="N170" s="40">
        <v>0.0</v>
      </c>
      <c r="O170" s="40">
        <v>35.4</v>
      </c>
      <c r="P170" s="40">
        <v>35.4</v>
      </c>
      <c r="Q170" s="40">
        <v>0.0</v>
      </c>
      <c r="R170" s="69" t="s">
        <v>849</v>
      </c>
      <c r="S170" s="69" t="s">
        <v>850</v>
      </c>
      <c r="T170" s="69" t="s">
        <v>851</v>
      </c>
      <c r="U170" s="69" t="s">
        <v>852</v>
      </c>
      <c r="V170" s="40">
        <v>2617.0</v>
      </c>
      <c r="W170" s="40">
        <v>5888.0</v>
      </c>
      <c r="X170" s="64"/>
      <c r="Y170" s="40">
        <v>5848.0</v>
      </c>
      <c r="Z170" s="40">
        <v>99.3207</v>
      </c>
      <c r="AA170" s="40">
        <v>0.0</v>
      </c>
      <c r="AB170" s="40">
        <v>0.0</v>
      </c>
      <c r="AC170" s="40">
        <v>0.0</v>
      </c>
      <c r="AD170" s="40">
        <v>0.0</v>
      </c>
      <c r="AE170" s="40">
        <v>0.0</v>
      </c>
      <c r="AF170" s="40">
        <v>0.0</v>
      </c>
      <c r="AG170" s="40">
        <v>2321.244357045144</v>
      </c>
      <c r="AH170" s="40">
        <v>7107.0</v>
      </c>
      <c r="AI170" s="40">
        <v>20561.0</v>
      </c>
      <c r="AJ170" s="40">
        <v>66306.25881357901</v>
      </c>
      <c r="AK170" s="40">
        <v>101523.378951</v>
      </c>
      <c r="AL170" s="41">
        <v>6.0</v>
      </c>
      <c r="AM170" s="40">
        <v>129.0</v>
      </c>
      <c r="AN170" s="40">
        <v>21.5</v>
      </c>
      <c r="AO170" s="40">
        <v>2.0384</v>
      </c>
      <c r="AP170" s="40">
        <v>2038.4</v>
      </c>
      <c r="AQ170" s="40">
        <v>771.7852</v>
      </c>
      <c r="AR170" s="40">
        <v>41.8</v>
      </c>
      <c r="AS170" s="40">
        <v>24.6</v>
      </c>
      <c r="AT170" s="40">
        <v>2548.0</v>
      </c>
      <c r="AU170" s="40">
        <v>965.0</v>
      </c>
      <c r="AV170" s="40">
        <v>1325.0</v>
      </c>
      <c r="AW170" s="40">
        <v>502.0</v>
      </c>
      <c r="AX170" s="64"/>
      <c r="AY170" s="66" t="s">
        <v>1031</v>
      </c>
      <c r="AZ170" s="64"/>
      <c r="BA170" s="64"/>
      <c r="BB170" s="64"/>
      <c r="BC170" s="40">
        <v>10.0</v>
      </c>
      <c r="BD170" s="40">
        <v>10.0</v>
      </c>
      <c r="BE170" s="40">
        <v>10000.0</v>
      </c>
      <c r="BF170" s="69" t="s">
        <v>370</v>
      </c>
      <c r="BG170" s="69" t="s">
        <v>563</v>
      </c>
      <c r="BH170" s="69" t="s">
        <v>465</v>
      </c>
      <c r="BI170" s="70" t="s">
        <v>373</v>
      </c>
    </row>
    <row r="171" ht="22.5" customHeight="1">
      <c r="A171" s="75" t="s">
        <v>1032</v>
      </c>
      <c r="B171" s="68" t="s">
        <v>1033</v>
      </c>
      <c r="C171" s="58" t="s">
        <v>50</v>
      </c>
      <c r="D171" s="58" t="s">
        <v>398</v>
      </c>
      <c r="E171" s="68" t="s">
        <v>1034</v>
      </c>
      <c r="F171" s="68" t="s">
        <v>1033</v>
      </c>
      <c r="G171" s="52">
        <v>100.0</v>
      </c>
      <c r="H171" s="52">
        <v>39394.0</v>
      </c>
      <c r="I171" s="52">
        <v>10.9547</v>
      </c>
      <c r="J171" s="52">
        <v>1.1519</v>
      </c>
      <c r="K171" s="52">
        <v>1.7542</v>
      </c>
      <c r="L171" s="52">
        <v>327.0938</v>
      </c>
      <c r="M171" s="52">
        <v>0.0</v>
      </c>
      <c r="N171" s="52">
        <v>0.0</v>
      </c>
      <c r="O171" s="52">
        <v>57.2</v>
      </c>
      <c r="P171" s="52">
        <v>57.2</v>
      </c>
      <c r="Q171" s="52">
        <v>0.0</v>
      </c>
      <c r="R171" s="68" t="s">
        <v>849</v>
      </c>
      <c r="S171" s="68" t="s">
        <v>850</v>
      </c>
      <c r="T171" s="68" t="s">
        <v>851</v>
      </c>
      <c r="U171" s="68" t="s">
        <v>852</v>
      </c>
      <c r="V171" s="52">
        <v>3000.0</v>
      </c>
      <c r="W171" s="52">
        <v>32241.0</v>
      </c>
      <c r="X171" s="59"/>
      <c r="Y171" s="52">
        <v>32257.0</v>
      </c>
      <c r="Z171" s="52">
        <v>100.0496</v>
      </c>
      <c r="AA171" s="52">
        <v>2.0</v>
      </c>
      <c r="AB171" s="52">
        <v>0.0062</v>
      </c>
      <c r="AC171" s="52">
        <v>1.0</v>
      </c>
      <c r="AD171" s="52">
        <v>0.0031</v>
      </c>
      <c r="AE171" s="52">
        <v>0.0</v>
      </c>
      <c r="AF171" s="52">
        <v>0.0</v>
      </c>
      <c r="AG171" s="52">
        <v>3790.721411079079</v>
      </c>
      <c r="AH171" s="52">
        <v>10185.49999999999</v>
      </c>
      <c r="AI171" s="52">
        <v>61056.0</v>
      </c>
      <c r="AJ171" s="52">
        <v>70468.59206483823</v>
      </c>
      <c r="AK171" s="52">
        <v>145628.793775</v>
      </c>
      <c r="AL171" s="53">
        <v>6.0</v>
      </c>
      <c r="AM171" s="52">
        <v>191.0</v>
      </c>
      <c r="AN171" s="52">
        <v>31.83</v>
      </c>
      <c r="AO171" s="52">
        <v>2.0839</v>
      </c>
      <c r="AP171" s="52">
        <v>2083.9</v>
      </c>
      <c r="AQ171" s="52">
        <v>771.7852</v>
      </c>
      <c r="AR171" s="52">
        <v>51.1</v>
      </c>
      <c r="AS171" s="52">
        <v>29.4</v>
      </c>
      <c r="AT171" s="52">
        <v>2605.0</v>
      </c>
      <c r="AU171" s="52">
        <v>965.0</v>
      </c>
      <c r="AV171" s="52">
        <v>1355.0</v>
      </c>
      <c r="AW171" s="52">
        <v>502.0</v>
      </c>
      <c r="AX171" s="59"/>
      <c r="AY171" s="60" t="s">
        <v>1035</v>
      </c>
      <c r="AZ171" s="59"/>
      <c r="BA171" s="59"/>
      <c r="BB171" s="59"/>
      <c r="BC171" s="52">
        <v>10.0</v>
      </c>
      <c r="BD171" s="52">
        <v>10.0</v>
      </c>
      <c r="BE171" s="52">
        <v>10000.0</v>
      </c>
      <c r="BF171" s="68" t="s">
        <v>370</v>
      </c>
      <c r="BG171" s="68" t="s">
        <v>563</v>
      </c>
      <c r="BH171" s="68" t="s">
        <v>465</v>
      </c>
      <c r="BI171" s="71" t="s">
        <v>373</v>
      </c>
    </row>
    <row r="172" ht="22.5" customHeight="1">
      <c r="A172" s="76" t="s">
        <v>1036</v>
      </c>
      <c r="B172" s="69" t="s">
        <v>1037</v>
      </c>
      <c r="C172" s="62" t="s">
        <v>50</v>
      </c>
      <c r="D172" s="62" t="s">
        <v>398</v>
      </c>
      <c r="E172" s="69" t="s">
        <v>1038</v>
      </c>
      <c r="F172" s="69" t="s">
        <v>1037</v>
      </c>
      <c r="G172" s="40">
        <v>100.0</v>
      </c>
      <c r="H172" s="40">
        <v>40696.0</v>
      </c>
      <c r="I172" s="40">
        <v>10.3931</v>
      </c>
      <c r="J172" s="40">
        <v>0.9706</v>
      </c>
      <c r="K172" s="40">
        <v>1.49</v>
      </c>
      <c r="L172" s="40">
        <v>148.8125</v>
      </c>
      <c r="M172" s="40">
        <v>0.0</v>
      </c>
      <c r="N172" s="40">
        <v>0.0</v>
      </c>
      <c r="O172" s="40">
        <v>66.4</v>
      </c>
      <c r="P172" s="40">
        <v>66.4</v>
      </c>
      <c r="Q172" s="40">
        <v>0.0</v>
      </c>
      <c r="R172" s="69" t="s">
        <v>849</v>
      </c>
      <c r="S172" s="69" t="s">
        <v>850</v>
      </c>
      <c r="T172" s="69" t="s">
        <v>851</v>
      </c>
      <c r="U172" s="69" t="s">
        <v>852</v>
      </c>
      <c r="V172" s="40">
        <v>3000.0</v>
      </c>
      <c r="W172" s="40">
        <v>32543.0</v>
      </c>
      <c r="X172" s="64"/>
      <c r="Y172" s="40">
        <v>32514.0</v>
      </c>
      <c r="Z172" s="40">
        <v>99.9109</v>
      </c>
      <c r="AA172" s="40">
        <v>1.0</v>
      </c>
      <c r="AB172" s="40">
        <v>0.0031</v>
      </c>
      <c r="AC172" s="40">
        <v>1.0</v>
      </c>
      <c r="AD172" s="40">
        <v>0.0031</v>
      </c>
      <c r="AE172" s="40">
        <v>0.0</v>
      </c>
      <c r="AF172" s="40">
        <v>0.0</v>
      </c>
      <c r="AG172" s="40">
        <v>3554.089220359834</v>
      </c>
      <c r="AH172" s="40">
        <v>10640.69999999999</v>
      </c>
      <c r="AI172" s="40">
        <v>60350.0</v>
      </c>
      <c r="AJ172" s="40">
        <v>70326.46315592415</v>
      </c>
      <c r="AK172" s="40">
        <v>145418.278273</v>
      </c>
      <c r="AL172" s="41">
        <v>6.0</v>
      </c>
      <c r="AM172" s="40">
        <v>278.0</v>
      </c>
      <c r="AN172" s="40">
        <f>AM172/AL172</f>
        <v>46.33333333</v>
      </c>
      <c r="AO172" s="40">
        <v>2.0576</v>
      </c>
      <c r="AP172" s="40">
        <v>2057.6</v>
      </c>
      <c r="AQ172" s="40">
        <v>767.6523</v>
      </c>
      <c r="AR172" s="40">
        <v>57.6</v>
      </c>
      <c r="AS172" s="40">
        <v>42.3</v>
      </c>
      <c r="AT172" s="40">
        <v>2572.0</v>
      </c>
      <c r="AU172" s="40">
        <v>960.0</v>
      </c>
      <c r="AV172" s="40">
        <v>1337.0</v>
      </c>
      <c r="AW172" s="40">
        <v>499.0</v>
      </c>
      <c r="AX172" s="64"/>
      <c r="AY172" s="66" t="s">
        <v>1039</v>
      </c>
      <c r="AZ172" s="64"/>
      <c r="BA172" s="64"/>
      <c r="BB172" s="64"/>
      <c r="BC172" s="40">
        <v>10.0</v>
      </c>
      <c r="BD172" s="40">
        <v>10.0</v>
      </c>
      <c r="BE172" s="40">
        <v>10000.0</v>
      </c>
      <c r="BF172" s="69" t="s">
        <v>370</v>
      </c>
      <c r="BG172" s="69" t="s">
        <v>563</v>
      </c>
      <c r="BH172" s="69" t="s">
        <v>487</v>
      </c>
      <c r="BI172" s="70" t="s">
        <v>373</v>
      </c>
    </row>
    <row r="173" ht="22.5" customHeight="1">
      <c r="A173" s="75" t="s">
        <v>1040</v>
      </c>
      <c r="B173" s="68" t="s">
        <v>1041</v>
      </c>
      <c r="C173" s="58" t="s">
        <v>50</v>
      </c>
      <c r="D173" s="58" t="s">
        <v>404</v>
      </c>
      <c r="E173" s="68" t="s">
        <v>1042</v>
      </c>
      <c r="F173" s="68" t="s">
        <v>1041</v>
      </c>
      <c r="G173" s="52">
        <v>160.0</v>
      </c>
      <c r="H173" s="52">
        <v>4995.0</v>
      </c>
      <c r="I173" s="52">
        <v>10.3487</v>
      </c>
      <c r="J173" s="52">
        <v>0.8705</v>
      </c>
      <c r="K173" s="52">
        <v>0.7283</v>
      </c>
      <c r="L173" s="52">
        <v>5.6562</v>
      </c>
      <c r="M173" s="52">
        <v>0.0</v>
      </c>
      <c r="N173" s="52">
        <v>0.0</v>
      </c>
      <c r="O173" s="52">
        <v>44.8</v>
      </c>
      <c r="P173" s="52">
        <v>44.8</v>
      </c>
      <c r="Q173" s="52">
        <v>0.0</v>
      </c>
      <c r="R173" s="68" t="s">
        <v>849</v>
      </c>
      <c r="S173" s="68" t="s">
        <v>850</v>
      </c>
      <c r="T173" s="68" t="s">
        <v>851</v>
      </c>
      <c r="U173" s="68" t="s">
        <v>852</v>
      </c>
      <c r="V173" s="52">
        <v>2827.0</v>
      </c>
      <c r="W173" s="52">
        <v>6180.0</v>
      </c>
      <c r="X173" s="59"/>
      <c r="Y173" s="52">
        <v>6185.0</v>
      </c>
      <c r="Z173" s="52">
        <v>100.0809</v>
      </c>
      <c r="AA173" s="52">
        <v>0.0</v>
      </c>
      <c r="AB173" s="52">
        <v>0.0</v>
      </c>
      <c r="AC173" s="52">
        <v>0.0</v>
      </c>
      <c r="AD173" s="52">
        <v>0.0</v>
      </c>
      <c r="AE173" s="52">
        <v>0.0</v>
      </c>
      <c r="AF173" s="52">
        <v>0.0</v>
      </c>
      <c r="AG173" s="52">
        <v>3183.623120452708</v>
      </c>
      <c r="AH173" s="52">
        <v>8564.599999999999</v>
      </c>
      <c r="AI173" s="52">
        <v>28902.0</v>
      </c>
      <c r="AJ173" s="52">
        <v>68700.76408692886</v>
      </c>
      <c r="AK173" s="52">
        <v>110268.284739</v>
      </c>
      <c r="AL173" s="53">
        <v>6.0</v>
      </c>
      <c r="AM173" s="52">
        <v>118.0</v>
      </c>
      <c r="AN173" s="52">
        <v>19.67</v>
      </c>
      <c r="AO173" s="52">
        <v>2.0758</v>
      </c>
      <c r="AP173" s="52">
        <v>2075.8</v>
      </c>
      <c r="AQ173" s="52">
        <v>754.3086</v>
      </c>
      <c r="AR173" s="52">
        <v>48.2</v>
      </c>
      <c r="AS173" s="52">
        <v>44.3</v>
      </c>
      <c r="AT173" s="52">
        <v>2595.0</v>
      </c>
      <c r="AU173" s="52">
        <v>943.0</v>
      </c>
      <c r="AV173" s="52">
        <v>1349.0</v>
      </c>
      <c r="AW173" s="52">
        <v>490.0</v>
      </c>
      <c r="AX173" s="59"/>
      <c r="AY173" s="60" t="s">
        <v>1043</v>
      </c>
      <c r="AZ173" s="59"/>
      <c r="BA173" s="59"/>
      <c r="BB173" s="59"/>
      <c r="BC173" s="52">
        <v>10.0</v>
      </c>
      <c r="BD173" s="52">
        <v>10.0</v>
      </c>
      <c r="BE173" s="52">
        <v>10000.0</v>
      </c>
      <c r="BF173" s="68" t="s">
        <v>370</v>
      </c>
      <c r="BG173" s="68" t="s">
        <v>563</v>
      </c>
      <c r="BH173" s="68" t="s">
        <v>487</v>
      </c>
      <c r="BI173" s="71" t="s">
        <v>373</v>
      </c>
    </row>
    <row r="174" ht="22.5" customHeight="1">
      <c r="A174" s="76" t="s">
        <v>1044</v>
      </c>
      <c r="B174" s="69" t="s">
        <v>1045</v>
      </c>
      <c r="C174" s="62" t="s">
        <v>50</v>
      </c>
      <c r="D174" s="62" t="s">
        <v>391</v>
      </c>
      <c r="E174" s="69" t="s">
        <v>1046</v>
      </c>
      <c r="F174" s="69" t="s">
        <v>1045</v>
      </c>
      <c r="G174" s="40">
        <v>130.0</v>
      </c>
      <c r="H174" s="40">
        <v>5370.0</v>
      </c>
      <c r="I174" s="40">
        <v>1.3835</v>
      </c>
      <c r="J174" s="40">
        <v>0.082</v>
      </c>
      <c r="K174" s="40">
        <v>1.4725</v>
      </c>
      <c r="L174" s="40">
        <v>172.3008</v>
      </c>
      <c r="M174" s="40">
        <v>0.0</v>
      </c>
      <c r="N174" s="40">
        <v>0.0</v>
      </c>
      <c r="O174" s="40">
        <v>41.7</v>
      </c>
      <c r="P174" s="40">
        <v>41.7</v>
      </c>
      <c r="Q174" s="40">
        <v>0.0</v>
      </c>
      <c r="R174" s="69" t="s">
        <v>849</v>
      </c>
      <c r="S174" s="69" t="s">
        <v>850</v>
      </c>
      <c r="T174" s="69" t="s">
        <v>851</v>
      </c>
      <c r="U174" s="69" t="s">
        <v>852</v>
      </c>
      <c r="V174" s="40">
        <v>2442.0</v>
      </c>
      <c r="W174" s="40">
        <v>5700.0</v>
      </c>
      <c r="X174" s="64"/>
      <c r="Y174" s="40">
        <v>5710.0</v>
      </c>
      <c r="Z174" s="40">
        <v>100.1754</v>
      </c>
      <c r="AA174" s="40">
        <v>0.0</v>
      </c>
      <c r="AB174" s="40">
        <v>0.0</v>
      </c>
      <c r="AC174" s="40">
        <v>0.0</v>
      </c>
      <c r="AD174" s="40">
        <v>0.0</v>
      </c>
      <c r="AE174" s="40">
        <v>0.0</v>
      </c>
      <c r="AF174" s="40">
        <v>0.0</v>
      </c>
      <c r="AG174" s="40">
        <v>2356.940105078809</v>
      </c>
      <c r="AH174" s="40">
        <v>5714.850000000001</v>
      </c>
      <c r="AI174" s="40">
        <v>19533.0</v>
      </c>
      <c r="AJ174" s="40">
        <v>66011.52395678434</v>
      </c>
      <c r="AK174" s="40">
        <v>88749.795287</v>
      </c>
      <c r="AL174" s="41">
        <v>6.0</v>
      </c>
      <c r="AM174" s="40">
        <v>82.0</v>
      </c>
      <c r="AN174" s="40">
        <v>13.67</v>
      </c>
      <c r="AO174" s="40">
        <v>1.714</v>
      </c>
      <c r="AP174" s="40">
        <v>1714.0</v>
      </c>
      <c r="AQ174" s="40">
        <v>623.5273</v>
      </c>
      <c r="AR174" s="40">
        <v>63.4</v>
      </c>
      <c r="AS174" s="40">
        <v>39.6</v>
      </c>
      <c r="AT174" s="40">
        <v>2143.0</v>
      </c>
      <c r="AU174" s="40">
        <v>779.0</v>
      </c>
      <c r="AV174" s="40">
        <v>1114.0</v>
      </c>
      <c r="AW174" s="40">
        <v>405.0</v>
      </c>
      <c r="AX174" s="64"/>
      <c r="AY174" s="66" t="s">
        <v>1047</v>
      </c>
      <c r="AZ174" s="64"/>
      <c r="BA174" s="64"/>
      <c r="BB174" s="64"/>
      <c r="BC174" s="40">
        <v>10.0</v>
      </c>
      <c r="BD174" s="40">
        <v>10.0</v>
      </c>
      <c r="BE174" s="40">
        <v>10000.0</v>
      </c>
      <c r="BF174" s="69" t="s">
        <v>370</v>
      </c>
      <c r="BG174" s="69" t="s">
        <v>371</v>
      </c>
      <c r="BH174" s="69" t="s">
        <v>487</v>
      </c>
      <c r="BI174" s="70" t="s">
        <v>373</v>
      </c>
    </row>
    <row r="175" ht="22.5" customHeight="1">
      <c r="A175" s="75" t="s">
        <v>1048</v>
      </c>
      <c r="B175" s="68" t="s">
        <v>1049</v>
      </c>
      <c r="C175" s="58" t="s">
        <v>50</v>
      </c>
      <c r="D175" s="58" t="s">
        <v>398</v>
      </c>
      <c r="E175" s="68" t="s">
        <v>1050</v>
      </c>
      <c r="F175" s="68" t="s">
        <v>1049</v>
      </c>
      <c r="G175" s="52">
        <v>100.0</v>
      </c>
      <c r="H175" s="52">
        <v>41725.0</v>
      </c>
      <c r="I175" s="52">
        <v>2.7052</v>
      </c>
      <c r="J175" s="52">
        <v>0.3407</v>
      </c>
      <c r="K175" s="52">
        <v>4.4938</v>
      </c>
      <c r="L175" s="52">
        <v>193.7305</v>
      </c>
      <c r="M175" s="52">
        <v>0.0</v>
      </c>
      <c r="N175" s="52">
        <v>0.0</v>
      </c>
      <c r="O175" s="52">
        <v>63.9</v>
      </c>
      <c r="P175" s="52">
        <v>63.9</v>
      </c>
      <c r="Q175" s="52">
        <v>0.0</v>
      </c>
      <c r="R175" s="68" t="s">
        <v>849</v>
      </c>
      <c r="S175" s="68" t="s">
        <v>850</v>
      </c>
      <c r="T175" s="68" t="s">
        <v>851</v>
      </c>
      <c r="U175" s="68" t="s">
        <v>852</v>
      </c>
      <c r="V175" s="52">
        <v>3000.0</v>
      </c>
      <c r="W175" s="52">
        <v>31722.0</v>
      </c>
      <c r="X175" s="59"/>
      <c r="Y175" s="52">
        <v>31234.0</v>
      </c>
      <c r="Z175" s="52">
        <v>98.4616</v>
      </c>
      <c r="AA175" s="52">
        <v>544.0</v>
      </c>
      <c r="AB175" s="52">
        <v>1.7149</v>
      </c>
      <c r="AC175" s="52">
        <v>1.0</v>
      </c>
      <c r="AD175" s="52">
        <v>0.0032</v>
      </c>
      <c r="AE175" s="52">
        <v>0.0</v>
      </c>
      <c r="AF175" s="52">
        <v>0.0</v>
      </c>
      <c r="AG175" s="52">
        <v>4023.209988042041</v>
      </c>
      <c r="AH175" s="52">
        <v>12064.15</v>
      </c>
      <c r="AI175" s="52">
        <v>60286.0</v>
      </c>
      <c r="AJ175" s="52">
        <v>71688.5079514158</v>
      </c>
      <c r="AK175" s="52">
        <v>143720.881037</v>
      </c>
      <c r="AL175" s="53">
        <v>6.0</v>
      </c>
      <c r="AM175" s="52">
        <v>263.0</v>
      </c>
      <c r="AN175" s="52">
        <v>43.83</v>
      </c>
      <c r="AO175" s="52">
        <v>1.8213</v>
      </c>
      <c r="AP175" s="52">
        <v>1821.3</v>
      </c>
      <c r="AQ175" s="52">
        <v>797.0195</v>
      </c>
      <c r="AR175" s="52">
        <v>87.4</v>
      </c>
      <c r="AS175" s="52">
        <v>43.8</v>
      </c>
      <c r="AT175" s="52">
        <v>2277.0</v>
      </c>
      <c r="AU175" s="52">
        <v>996.0</v>
      </c>
      <c r="AV175" s="52">
        <v>1184.0</v>
      </c>
      <c r="AW175" s="52">
        <v>518.0</v>
      </c>
      <c r="AX175" s="60" t="s">
        <v>1051</v>
      </c>
      <c r="AY175" s="60" t="s">
        <v>1052</v>
      </c>
      <c r="AZ175" s="59"/>
      <c r="BA175" s="59"/>
      <c r="BB175" s="59"/>
      <c r="BC175" s="52">
        <v>10.0</v>
      </c>
      <c r="BD175" s="52">
        <v>10.0</v>
      </c>
      <c r="BE175" s="52">
        <v>10000.0</v>
      </c>
      <c r="BF175" s="68" t="s">
        <v>370</v>
      </c>
      <c r="BG175" s="68" t="s">
        <v>371</v>
      </c>
      <c r="BH175" s="68" t="s">
        <v>487</v>
      </c>
      <c r="BI175" s="71" t="s">
        <v>373</v>
      </c>
    </row>
    <row r="176" ht="22.5" customHeight="1">
      <c r="A176" s="76" t="s">
        <v>1053</v>
      </c>
      <c r="B176" s="69" t="s">
        <v>1054</v>
      </c>
      <c r="C176" s="62" t="s">
        <v>50</v>
      </c>
      <c r="D176" s="62" t="s">
        <v>391</v>
      </c>
      <c r="E176" s="69" t="s">
        <v>1055</v>
      </c>
      <c r="F176" s="69" t="s">
        <v>1054</v>
      </c>
      <c r="G176" s="40">
        <v>130.0</v>
      </c>
      <c r="H176" s="40">
        <v>5940.0</v>
      </c>
      <c r="I176" s="40">
        <v>5.8604</v>
      </c>
      <c r="J176" s="40">
        <v>0.4249</v>
      </c>
      <c r="K176" s="40">
        <v>0.7108</v>
      </c>
      <c r="L176" s="40">
        <v>767.2383</v>
      </c>
      <c r="M176" s="40">
        <v>0.0</v>
      </c>
      <c r="N176" s="40">
        <v>0.0</v>
      </c>
      <c r="O176" s="40">
        <v>36.5</v>
      </c>
      <c r="P176" s="40">
        <v>36.5</v>
      </c>
      <c r="Q176" s="40">
        <v>0.0</v>
      </c>
      <c r="R176" s="69" t="s">
        <v>849</v>
      </c>
      <c r="S176" s="69" t="s">
        <v>850</v>
      </c>
      <c r="T176" s="69" t="s">
        <v>851</v>
      </c>
      <c r="U176" s="69" t="s">
        <v>852</v>
      </c>
      <c r="V176" s="40">
        <v>2524.0</v>
      </c>
      <c r="W176" s="40">
        <v>5808.0</v>
      </c>
      <c r="X176" s="64"/>
      <c r="Y176" s="40">
        <v>5826.0</v>
      </c>
      <c r="Z176" s="40">
        <v>100.3099</v>
      </c>
      <c r="AA176" s="40">
        <v>0.0</v>
      </c>
      <c r="AB176" s="40">
        <v>0.0</v>
      </c>
      <c r="AC176" s="40">
        <v>0.0</v>
      </c>
      <c r="AD176" s="40">
        <v>0.0</v>
      </c>
      <c r="AE176" s="40">
        <v>0.0</v>
      </c>
      <c r="AF176" s="40">
        <v>0.0</v>
      </c>
      <c r="AG176" s="40">
        <v>2640.049605217988</v>
      </c>
      <c r="AH176" s="40">
        <v>5914.5</v>
      </c>
      <c r="AI176" s="40">
        <v>17378.0</v>
      </c>
      <c r="AJ176" s="40">
        <v>66281.14395726348</v>
      </c>
      <c r="AK176" s="40">
        <v>89162.253835</v>
      </c>
      <c r="AL176" s="41">
        <v>6.0</v>
      </c>
      <c r="AM176" s="40">
        <v>133.0</v>
      </c>
      <c r="AN176" s="40">
        <v>22.17</v>
      </c>
      <c r="AO176" s="40">
        <v>2.1037</v>
      </c>
      <c r="AP176" s="40">
        <v>2103.7</v>
      </c>
      <c r="AQ176" s="40">
        <v>774.8398</v>
      </c>
      <c r="AR176" s="40">
        <v>53.8</v>
      </c>
      <c r="AS176" s="40">
        <v>35.1</v>
      </c>
      <c r="AT176" s="40">
        <v>2630.0</v>
      </c>
      <c r="AU176" s="40">
        <v>969.0</v>
      </c>
      <c r="AV176" s="40">
        <v>1367.0</v>
      </c>
      <c r="AW176" s="40">
        <v>504.0</v>
      </c>
      <c r="AX176" s="64"/>
      <c r="AY176" s="66" t="s">
        <v>1056</v>
      </c>
      <c r="AZ176" s="64"/>
      <c r="BA176" s="64"/>
      <c r="BB176" s="64"/>
      <c r="BC176" s="40">
        <v>10.0</v>
      </c>
      <c r="BD176" s="40">
        <v>10.0</v>
      </c>
      <c r="BE176" s="40">
        <v>10000.0</v>
      </c>
      <c r="BF176" s="69" t="s">
        <v>370</v>
      </c>
      <c r="BG176" s="69" t="s">
        <v>563</v>
      </c>
      <c r="BH176" s="69" t="s">
        <v>487</v>
      </c>
      <c r="BI176" s="70" t="s">
        <v>373</v>
      </c>
    </row>
    <row r="177" ht="22.5" customHeight="1">
      <c r="A177" s="75" t="s">
        <v>1057</v>
      </c>
      <c r="B177" s="68" t="s">
        <v>1058</v>
      </c>
      <c r="C177" s="58" t="s">
        <v>9</v>
      </c>
      <c r="D177" s="58" t="s">
        <v>914</v>
      </c>
      <c r="E177" s="68" t="s">
        <v>1059</v>
      </c>
      <c r="F177" s="68" t="s">
        <v>1058</v>
      </c>
      <c r="G177" s="52">
        <v>120.0</v>
      </c>
      <c r="H177" s="52">
        <v>13585.3714</v>
      </c>
      <c r="I177" s="52">
        <v>17.4719</v>
      </c>
      <c r="J177" s="52">
        <v>2.1689</v>
      </c>
      <c r="K177" s="52">
        <v>1.0781</v>
      </c>
      <c r="L177" s="52">
        <v>56.3711</v>
      </c>
      <c r="M177" s="59"/>
      <c r="N177" s="59"/>
      <c r="O177" s="52">
        <v>14.1</v>
      </c>
      <c r="P177" s="52">
        <v>14.1</v>
      </c>
      <c r="Q177" s="59"/>
      <c r="R177" s="68" t="s">
        <v>849</v>
      </c>
      <c r="S177" s="68" t="s">
        <v>850</v>
      </c>
      <c r="T177" s="68" t="s">
        <v>851</v>
      </c>
      <c r="U177" s="68" t="s">
        <v>852</v>
      </c>
      <c r="V177" s="52">
        <v>220.0</v>
      </c>
      <c r="W177" s="52">
        <v>115201.0</v>
      </c>
      <c r="X177" s="59"/>
      <c r="Y177" s="52">
        <v>115201.0</v>
      </c>
      <c r="Z177" s="52">
        <v>100.0</v>
      </c>
      <c r="AA177" s="52">
        <v>0.0</v>
      </c>
      <c r="AB177" s="52">
        <v>0.0</v>
      </c>
      <c r="AC177" s="52">
        <v>0.0</v>
      </c>
      <c r="AD177" s="52">
        <v>0.0</v>
      </c>
      <c r="AE177" s="52">
        <v>0.0</v>
      </c>
      <c r="AF177" s="52">
        <v>0.0</v>
      </c>
      <c r="AG177" s="52">
        <v>72.96</v>
      </c>
      <c r="AH177" s="52">
        <v>93.0</v>
      </c>
      <c r="AI177" s="52">
        <v>5081.0</v>
      </c>
      <c r="AJ177" s="52">
        <v>74.55598058693917</v>
      </c>
      <c r="AK177" s="52">
        <v>5081.838818</v>
      </c>
      <c r="AL177" s="53">
        <v>9.0</v>
      </c>
      <c r="AM177" s="52">
        <v>129.0</v>
      </c>
      <c r="AN177" s="52">
        <v>14.33</v>
      </c>
      <c r="AO177" s="52">
        <v>2.3218</v>
      </c>
      <c r="AP177" s="52">
        <v>2321.8</v>
      </c>
      <c r="AQ177" s="52">
        <v>804.7539</v>
      </c>
      <c r="AR177" s="52">
        <v>43.6</v>
      </c>
      <c r="AS177" s="52">
        <v>30.3</v>
      </c>
      <c r="AT177" s="52">
        <v>2902.0</v>
      </c>
      <c r="AU177" s="52">
        <v>1006.0</v>
      </c>
      <c r="AV177" s="52">
        <v>1509.0</v>
      </c>
      <c r="AW177" s="52">
        <v>523.0</v>
      </c>
      <c r="AX177" s="59"/>
      <c r="AY177" s="60" t="s">
        <v>1060</v>
      </c>
      <c r="AZ177" s="59"/>
      <c r="BA177" s="59"/>
      <c r="BB177" s="59"/>
      <c r="BC177" s="52">
        <v>1000.0</v>
      </c>
      <c r="BD177" s="52">
        <v>3.0</v>
      </c>
      <c r="BE177" s="52">
        <v>1000.0</v>
      </c>
      <c r="BF177" s="68" t="s">
        <v>370</v>
      </c>
      <c r="BG177" s="68" t="s">
        <v>388</v>
      </c>
      <c r="BH177" s="68" t="s">
        <v>465</v>
      </c>
      <c r="BI177" s="71" t="s">
        <v>373</v>
      </c>
    </row>
    <row r="178" ht="22.5" customHeight="1">
      <c r="A178" s="76" t="s">
        <v>1061</v>
      </c>
      <c r="B178" s="69" t="s">
        <v>1062</v>
      </c>
      <c r="C178" s="62" t="s">
        <v>9</v>
      </c>
      <c r="D178" s="62" t="s">
        <v>909</v>
      </c>
      <c r="E178" s="69" t="s">
        <v>1063</v>
      </c>
      <c r="F178" s="69" t="s">
        <v>1062</v>
      </c>
      <c r="G178" s="40">
        <v>200.0</v>
      </c>
      <c r="H178" s="40">
        <v>17036.2286</v>
      </c>
      <c r="I178" s="40">
        <v>24.8975</v>
      </c>
      <c r="J178" s="40">
        <v>2.9694</v>
      </c>
      <c r="K178" s="40">
        <v>1.2088</v>
      </c>
      <c r="L178" s="40">
        <v>34.9375</v>
      </c>
      <c r="M178" s="64"/>
      <c r="N178" s="64"/>
      <c r="O178" s="40">
        <v>18.2333</v>
      </c>
      <c r="P178" s="40">
        <v>18.2333</v>
      </c>
      <c r="Q178" s="64"/>
      <c r="R178" s="69" t="s">
        <v>849</v>
      </c>
      <c r="S178" s="69" t="s">
        <v>850</v>
      </c>
      <c r="T178" s="69" t="s">
        <v>851</v>
      </c>
      <c r="U178" s="69" t="s">
        <v>852</v>
      </c>
      <c r="V178" s="40">
        <v>220.0</v>
      </c>
      <c r="W178" s="40">
        <v>192000.0</v>
      </c>
      <c r="X178" s="64"/>
      <c r="Y178" s="40">
        <v>192000.0</v>
      </c>
      <c r="Z178" s="40">
        <v>100.0</v>
      </c>
      <c r="AA178" s="40">
        <v>0.0</v>
      </c>
      <c r="AB178" s="40">
        <v>0.0</v>
      </c>
      <c r="AC178" s="40">
        <v>0.0</v>
      </c>
      <c r="AD178" s="40">
        <v>0.0</v>
      </c>
      <c r="AE178" s="40">
        <v>0.0</v>
      </c>
      <c r="AF178" s="40">
        <v>0.0</v>
      </c>
      <c r="AG178" s="40">
        <v>91.73</v>
      </c>
      <c r="AH178" s="40">
        <v>134.0</v>
      </c>
      <c r="AI178" s="40">
        <v>5134.0</v>
      </c>
      <c r="AJ178" s="40">
        <v>93.60573378695365</v>
      </c>
      <c r="AK178" s="40">
        <v>5135.250224</v>
      </c>
      <c r="AL178" s="41">
        <v>12.0</v>
      </c>
      <c r="AM178" s="40">
        <v>297.0</v>
      </c>
      <c r="AN178" s="40">
        <v>24.75</v>
      </c>
      <c r="AO178" s="40">
        <v>2.1342</v>
      </c>
      <c r="AP178" s="40">
        <v>2134.2</v>
      </c>
      <c r="AQ178" s="40">
        <v>741.5273</v>
      </c>
      <c r="AR178" s="40">
        <v>64.0</v>
      </c>
      <c r="AS178" s="40">
        <v>54.7</v>
      </c>
      <c r="AT178" s="40">
        <v>2668.0</v>
      </c>
      <c r="AU178" s="40">
        <v>927.0</v>
      </c>
      <c r="AV178" s="40">
        <v>1387.0</v>
      </c>
      <c r="AW178" s="40">
        <v>482.0</v>
      </c>
      <c r="AX178" s="64"/>
      <c r="AY178" s="66" t="s">
        <v>1064</v>
      </c>
      <c r="AZ178" s="64"/>
      <c r="BA178" s="64"/>
      <c r="BB178" s="64"/>
      <c r="BC178" s="40">
        <v>1000.0</v>
      </c>
      <c r="BD178" s="40">
        <v>2.0</v>
      </c>
      <c r="BE178" s="40">
        <v>1000.0</v>
      </c>
      <c r="BF178" s="69" t="s">
        <v>370</v>
      </c>
      <c r="BG178" s="69" t="s">
        <v>388</v>
      </c>
      <c r="BH178" s="69" t="s">
        <v>487</v>
      </c>
      <c r="BI178" s="70" t="s">
        <v>373</v>
      </c>
    </row>
    <row r="179" ht="22.5" customHeight="1">
      <c r="A179" s="77"/>
      <c r="B179" s="68" t="s">
        <v>1065</v>
      </c>
      <c r="C179" s="58" t="s">
        <v>9</v>
      </c>
      <c r="D179" s="58" t="s">
        <v>909</v>
      </c>
      <c r="E179" s="68" t="s">
        <v>1066</v>
      </c>
      <c r="F179" s="68" t="s">
        <v>1065</v>
      </c>
      <c r="G179" s="52">
        <v>200.0</v>
      </c>
      <c r="H179" s="52">
        <v>20596.172</v>
      </c>
      <c r="I179" s="52">
        <v>6.5084</v>
      </c>
      <c r="J179" s="52">
        <v>2.3315</v>
      </c>
      <c r="K179" s="52">
        <v>0.4094</v>
      </c>
      <c r="L179" s="52">
        <v>213.8828</v>
      </c>
      <c r="M179" s="59"/>
      <c r="N179" s="59"/>
      <c r="O179" s="52">
        <v>8.94</v>
      </c>
      <c r="P179" s="52">
        <v>9.346</v>
      </c>
      <c r="Q179" s="52">
        <v>29.222</v>
      </c>
      <c r="R179" s="68" t="s">
        <v>849</v>
      </c>
      <c r="S179" s="68" t="s">
        <v>850</v>
      </c>
      <c r="T179" s="68" t="s">
        <v>851</v>
      </c>
      <c r="U179" s="68" t="s">
        <v>852</v>
      </c>
      <c r="V179" s="52">
        <v>1400.0</v>
      </c>
      <c r="W179" s="52">
        <v>51702.0</v>
      </c>
      <c r="X179" s="59"/>
      <c r="Y179" s="52">
        <v>20503.0</v>
      </c>
      <c r="Z179" s="52">
        <v>100.0</v>
      </c>
      <c r="AA179" s="52">
        <v>0.0</v>
      </c>
      <c r="AB179" s="52">
        <v>0.0</v>
      </c>
      <c r="AC179" s="52">
        <v>0.0</v>
      </c>
      <c r="AD179" s="52">
        <v>0.0</v>
      </c>
      <c r="AE179" s="52">
        <v>0.0</v>
      </c>
      <c r="AF179" s="52">
        <v>0.0</v>
      </c>
      <c r="AG179" s="52">
        <v>7304.31</v>
      </c>
      <c r="AH179" s="52">
        <v>13451.0</v>
      </c>
      <c r="AI179" s="52">
        <v>44738.0</v>
      </c>
      <c r="AJ179" s="52">
        <v>21221.66325872063</v>
      </c>
      <c r="AK179" s="52">
        <v>67867.575889</v>
      </c>
      <c r="AL179" s="53">
        <v>6.0</v>
      </c>
      <c r="AM179" s="52">
        <v>245.0</v>
      </c>
      <c r="AN179" s="52">
        <f>AM179/6</f>
        <v>40.83333333</v>
      </c>
      <c r="AO179" s="52">
        <v>1.4933</v>
      </c>
      <c r="AP179" s="52">
        <v>1493.3</v>
      </c>
      <c r="AQ179" s="52">
        <v>2383.2461</v>
      </c>
      <c r="AR179" s="59"/>
      <c r="AS179" s="59"/>
      <c r="AT179" s="52">
        <v>1867.0</v>
      </c>
      <c r="AU179" s="52">
        <v>2979.0</v>
      </c>
      <c r="AV179" s="52">
        <v>971.0</v>
      </c>
      <c r="AW179" s="52">
        <v>1549.0</v>
      </c>
      <c r="AX179" s="59"/>
      <c r="AY179" s="60" t="s">
        <v>1067</v>
      </c>
      <c r="AZ179" s="59"/>
      <c r="BA179" s="59"/>
      <c r="BB179" s="59"/>
      <c r="BC179" s="52">
        <v>1000.0</v>
      </c>
      <c r="BD179" s="52">
        <v>3.0</v>
      </c>
      <c r="BE179" s="52">
        <v>1000.0</v>
      </c>
      <c r="BF179" s="68" t="s">
        <v>370</v>
      </c>
      <c r="BG179" s="68" t="s">
        <v>388</v>
      </c>
      <c r="BH179" s="68" t="s">
        <v>487</v>
      </c>
      <c r="BI179" s="71" t="s">
        <v>373</v>
      </c>
    </row>
    <row r="180" ht="22.5" customHeight="1">
      <c r="A180" s="78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79" t="str">
        <f t="shared" ref="AB180:AB261" si="19">AA180/W180</f>
        <v>#DIV/0!</v>
      </c>
      <c r="AC180" s="64"/>
      <c r="AD180" s="79" t="str">
        <f t="shared" ref="AD180:AD261" si="20">AC180/W180</f>
        <v>#DIV/0!</v>
      </c>
      <c r="AE180" s="64"/>
      <c r="AF180" s="64"/>
      <c r="AG180" s="64"/>
      <c r="AH180" s="64"/>
      <c r="AI180" s="64"/>
      <c r="AJ180" s="64"/>
      <c r="AK180" s="64"/>
      <c r="AL180" s="80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81"/>
    </row>
    <row r="181" ht="22.5" customHeight="1">
      <c r="A181" s="77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82" t="str">
        <f t="shared" si="19"/>
        <v>#DIV/0!</v>
      </c>
      <c r="AC181" s="59"/>
      <c r="AD181" s="82" t="str">
        <f t="shared" si="20"/>
        <v>#DIV/0!</v>
      </c>
      <c r="AE181" s="59"/>
      <c r="AF181" s="59"/>
      <c r="AG181" s="59"/>
      <c r="AH181" s="59"/>
      <c r="AI181" s="59"/>
      <c r="AJ181" s="59"/>
      <c r="AK181" s="59"/>
      <c r="AL181" s="83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84"/>
    </row>
    <row r="182" ht="22.5" customHeight="1">
      <c r="A182" s="78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79" t="str">
        <f t="shared" si="19"/>
        <v>#DIV/0!</v>
      </c>
      <c r="AC182" s="64"/>
      <c r="AD182" s="79" t="str">
        <f t="shared" si="20"/>
        <v>#DIV/0!</v>
      </c>
      <c r="AE182" s="64"/>
      <c r="AF182" s="64"/>
      <c r="AG182" s="64"/>
      <c r="AH182" s="64"/>
      <c r="AI182" s="64"/>
      <c r="AJ182" s="64"/>
      <c r="AK182" s="64"/>
      <c r="AL182" s="80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81"/>
    </row>
    <row r="183" ht="22.5" customHeight="1">
      <c r="A183" s="77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82" t="str">
        <f t="shared" si="19"/>
        <v>#DIV/0!</v>
      </c>
      <c r="AC183" s="59"/>
      <c r="AD183" s="82" t="str">
        <f t="shared" si="20"/>
        <v>#DIV/0!</v>
      </c>
      <c r="AE183" s="59"/>
      <c r="AF183" s="59"/>
      <c r="AG183" s="59"/>
      <c r="AH183" s="59"/>
      <c r="AI183" s="59"/>
      <c r="AJ183" s="59"/>
      <c r="AK183" s="59"/>
      <c r="AL183" s="83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84"/>
    </row>
    <row r="184" ht="22.5" customHeight="1">
      <c r="A184" s="78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79" t="str">
        <f t="shared" si="19"/>
        <v>#DIV/0!</v>
      </c>
      <c r="AC184" s="64"/>
      <c r="AD184" s="79" t="str">
        <f t="shared" si="20"/>
        <v>#DIV/0!</v>
      </c>
      <c r="AE184" s="64"/>
      <c r="AF184" s="64"/>
      <c r="AG184" s="64"/>
      <c r="AH184" s="64"/>
      <c r="AI184" s="64"/>
      <c r="AJ184" s="64"/>
      <c r="AK184" s="64"/>
      <c r="AL184" s="80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81"/>
    </row>
    <row r="185" ht="22.5" customHeight="1">
      <c r="A185" s="77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82" t="str">
        <f t="shared" si="19"/>
        <v>#DIV/0!</v>
      </c>
      <c r="AC185" s="59"/>
      <c r="AD185" s="82" t="str">
        <f t="shared" si="20"/>
        <v>#DIV/0!</v>
      </c>
      <c r="AE185" s="59"/>
      <c r="AF185" s="59"/>
      <c r="AG185" s="59"/>
      <c r="AH185" s="59"/>
      <c r="AI185" s="59"/>
      <c r="AJ185" s="59"/>
      <c r="AK185" s="59"/>
      <c r="AL185" s="83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84"/>
    </row>
    <row r="186" ht="22.5" customHeight="1">
      <c r="A186" s="78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79" t="str">
        <f t="shared" si="19"/>
        <v>#DIV/0!</v>
      </c>
      <c r="AC186" s="64"/>
      <c r="AD186" s="79" t="str">
        <f t="shared" si="20"/>
        <v>#DIV/0!</v>
      </c>
      <c r="AE186" s="64"/>
      <c r="AF186" s="64"/>
      <c r="AG186" s="64"/>
      <c r="AH186" s="64"/>
      <c r="AI186" s="64"/>
      <c r="AJ186" s="64"/>
      <c r="AK186" s="64"/>
      <c r="AL186" s="80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81"/>
    </row>
    <row r="187" ht="22.5" customHeight="1">
      <c r="A187" s="77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82" t="str">
        <f t="shared" si="19"/>
        <v>#DIV/0!</v>
      </c>
      <c r="AC187" s="59"/>
      <c r="AD187" s="82" t="str">
        <f t="shared" si="20"/>
        <v>#DIV/0!</v>
      </c>
      <c r="AE187" s="59"/>
      <c r="AF187" s="59"/>
      <c r="AG187" s="59"/>
      <c r="AH187" s="59"/>
      <c r="AI187" s="59"/>
      <c r="AJ187" s="59"/>
      <c r="AK187" s="59"/>
      <c r="AL187" s="83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84"/>
    </row>
    <row r="188" ht="22.5" customHeight="1">
      <c r="A188" s="78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79" t="str">
        <f t="shared" si="19"/>
        <v>#DIV/0!</v>
      </c>
      <c r="AC188" s="64"/>
      <c r="AD188" s="79" t="str">
        <f t="shared" si="20"/>
        <v>#DIV/0!</v>
      </c>
      <c r="AE188" s="64"/>
      <c r="AF188" s="64"/>
      <c r="AG188" s="64"/>
      <c r="AH188" s="64"/>
      <c r="AI188" s="64"/>
      <c r="AJ188" s="64"/>
      <c r="AK188" s="64"/>
      <c r="AL188" s="80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81"/>
    </row>
    <row r="189" ht="22.5" customHeight="1">
      <c r="A189" s="77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82" t="str">
        <f t="shared" si="19"/>
        <v>#DIV/0!</v>
      </c>
      <c r="AC189" s="59"/>
      <c r="AD189" s="82" t="str">
        <f t="shared" si="20"/>
        <v>#DIV/0!</v>
      </c>
      <c r="AE189" s="59"/>
      <c r="AF189" s="59"/>
      <c r="AG189" s="59"/>
      <c r="AH189" s="59"/>
      <c r="AI189" s="59"/>
      <c r="AJ189" s="59"/>
      <c r="AK189" s="59"/>
      <c r="AL189" s="83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84"/>
    </row>
    <row r="190" ht="22.5" customHeight="1">
      <c r="A190" s="78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79" t="str">
        <f t="shared" si="19"/>
        <v>#DIV/0!</v>
      </c>
      <c r="AC190" s="64"/>
      <c r="AD190" s="79" t="str">
        <f t="shared" si="20"/>
        <v>#DIV/0!</v>
      </c>
      <c r="AE190" s="64"/>
      <c r="AF190" s="64"/>
      <c r="AG190" s="64"/>
      <c r="AH190" s="64"/>
      <c r="AI190" s="64"/>
      <c r="AJ190" s="64"/>
      <c r="AK190" s="64"/>
      <c r="AL190" s="80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81"/>
    </row>
    <row r="191" ht="22.5" customHeight="1">
      <c r="A191" s="77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82" t="str">
        <f t="shared" si="19"/>
        <v>#DIV/0!</v>
      </c>
      <c r="AC191" s="59"/>
      <c r="AD191" s="82" t="str">
        <f t="shared" si="20"/>
        <v>#DIV/0!</v>
      </c>
      <c r="AE191" s="59"/>
      <c r="AF191" s="59"/>
      <c r="AG191" s="59"/>
      <c r="AH191" s="59"/>
      <c r="AI191" s="59"/>
      <c r="AJ191" s="59"/>
      <c r="AK191" s="59"/>
      <c r="AL191" s="83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84"/>
    </row>
    <row r="192" ht="22.5" customHeight="1">
      <c r="A192" s="78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79" t="str">
        <f t="shared" si="19"/>
        <v>#DIV/0!</v>
      </c>
      <c r="AC192" s="64"/>
      <c r="AD192" s="79" t="str">
        <f t="shared" si="20"/>
        <v>#DIV/0!</v>
      </c>
      <c r="AE192" s="64"/>
      <c r="AF192" s="64"/>
      <c r="AG192" s="64"/>
      <c r="AH192" s="64"/>
      <c r="AI192" s="64"/>
      <c r="AJ192" s="64"/>
      <c r="AK192" s="64"/>
      <c r="AL192" s="80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81"/>
    </row>
    <row r="193" ht="22.5" customHeight="1">
      <c r="A193" s="77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82" t="str">
        <f t="shared" si="19"/>
        <v>#DIV/0!</v>
      </c>
      <c r="AC193" s="59"/>
      <c r="AD193" s="82" t="str">
        <f t="shared" si="20"/>
        <v>#DIV/0!</v>
      </c>
      <c r="AE193" s="59"/>
      <c r="AF193" s="59"/>
      <c r="AG193" s="59"/>
      <c r="AH193" s="59"/>
      <c r="AI193" s="59"/>
      <c r="AJ193" s="59"/>
      <c r="AK193" s="59"/>
      <c r="AL193" s="83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84"/>
    </row>
    <row r="194" ht="22.5" customHeight="1">
      <c r="A194" s="78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79" t="str">
        <f t="shared" si="19"/>
        <v>#DIV/0!</v>
      </c>
      <c r="AC194" s="64"/>
      <c r="AD194" s="79" t="str">
        <f t="shared" si="20"/>
        <v>#DIV/0!</v>
      </c>
      <c r="AE194" s="64"/>
      <c r="AF194" s="64"/>
      <c r="AG194" s="64"/>
      <c r="AH194" s="64"/>
      <c r="AI194" s="64"/>
      <c r="AJ194" s="64"/>
      <c r="AK194" s="64"/>
      <c r="AL194" s="80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81"/>
    </row>
    <row r="195" ht="22.5" customHeight="1">
      <c r="A195" s="77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82" t="str">
        <f t="shared" si="19"/>
        <v>#DIV/0!</v>
      </c>
      <c r="AC195" s="59"/>
      <c r="AD195" s="82" t="str">
        <f t="shared" si="20"/>
        <v>#DIV/0!</v>
      </c>
      <c r="AE195" s="59"/>
      <c r="AF195" s="59"/>
      <c r="AG195" s="59"/>
      <c r="AH195" s="59"/>
      <c r="AI195" s="59"/>
      <c r="AJ195" s="59"/>
      <c r="AK195" s="59"/>
      <c r="AL195" s="83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84"/>
    </row>
    <row r="196" ht="22.5" customHeight="1">
      <c r="A196" s="78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79" t="str">
        <f t="shared" si="19"/>
        <v>#DIV/0!</v>
      </c>
      <c r="AC196" s="64"/>
      <c r="AD196" s="79" t="str">
        <f t="shared" si="20"/>
        <v>#DIV/0!</v>
      </c>
      <c r="AE196" s="64"/>
      <c r="AF196" s="64"/>
      <c r="AG196" s="64"/>
      <c r="AH196" s="64"/>
      <c r="AI196" s="64"/>
      <c r="AJ196" s="64"/>
      <c r="AK196" s="64"/>
      <c r="AL196" s="80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81"/>
    </row>
    <row r="197" ht="22.5" customHeight="1">
      <c r="A197" s="77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82" t="str">
        <f t="shared" si="19"/>
        <v>#DIV/0!</v>
      </c>
      <c r="AC197" s="59"/>
      <c r="AD197" s="82" t="str">
        <f t="shared" si="20"/>
        <v>#DIV/0!</v>
      </c>
      <c r="AE197" s="59"/>
      <c r="AF197" s="59"/>
      <c r="AG197" s="59"/>
      <c r="AH197" s="59"/>
      <c r="AI197" s="59"/>
      <c r="AJ197" s="59"/>
      <c r="AK197" s="59"/>
      <c r="AL197" s="83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84"/>
    </row>
    <row r="198" ht="22.5" customHeight="1">
      <c r="A198" s="78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79" t="str">
        <f t="shared" si="19"/>
        <v>#DIV/0!</v>
      </c>
      <c r="AC198" s="64"/>
      <c r="AD198" s="79" t="str">
        <f t="shared" si="20"/>
        <v>#DIV/0!</v>
      </c>
      <c r="AE198" s="64"/>
      <c r="AF198" s="64"/>
      <c r="AG198" s="64"/>
      <c r="AH198" s="64"/>
      <c r="AI198" s="64"/>
      <c r="AJ198" s="64"/>
      <c r="AK198" s="64"/>
      <c r="AL198" s="80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81"/>
    </row>
    <row r="199" ht="22.5" customHeight="1">
      <c r="A199" s="77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82" t="str">
        <f t="shared" si="19"/>
        <v>#DIV/0!</v>
      </c>
      <c r="AC199" s="59"/>
      <c r="AD199" s="82" t="str">
        <f t="shared" si="20"/>
        <v>#DIV/0!</v>
      </c>
      <c r="AE199" s="59"/>
      <c r="AF199" s="59"/>
      <c r="AG199" s="59"/>
      <c r="AH199" s="59"/>
      <c r="AI199" s="59"/>
      <c r="AJ199" s="59"/>
      <c r="AK199" s="59"/>
      <c r="AL199" s="83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84"/>
    </row>
    <row r="200" ht="22.5" customHeight="1">
      <c r="A200" s="78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79" t="str">
        <f t="shared" si="19"/>
        <v>#DIV/0!</v>
      </c>
      <c r="AC200" s="64"/>
      <c r="AD200" s="79" t="str">
        <f t="shared" si="20"/>
        <v>#DIV/0!</v>
      </c>
      <c r="AE200" s="64"/>
      <c r="AF200" s="64"/>
      <c r="AG200" s="64"/>
      <c r="AH200" s="64"/>
      <c r="AI200" s="64"/>
      <c r="AJ200" s="64"/>
      <c r="AK200" s="64"/>
      <c r="AL200" s="80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81"/>
    </row>
    <row r="201" ht="22.5" customHeight="1">
      <c r="A201" s="77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82" t="str">
        <f t="shared" si="19"/>
        <v>#DIV/0!</v>
      </c>
      <c r="AC201" s="59"/>
      <c r="AD201" s="82" t="str">
        <f t="shared" si="20"/>
        <v>#DIV/0!</v>
      </c>
      <c r="AE201" s="59"/>
      <c r="AF201" s="59"/>
      <c r="AG201" s="59"/>
      <c r="AH201" s="59"/>
      <c r="AI201" s="59"/>
      <c r="AJ201" s="59"/>
      <c r="AK201" s="59"/>
      <c r="AL201" s="83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84"/>
    </row>
    <row r="202" ht="22.5" customHeight="1">
      <c r="A202" s="78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79" t="str">
        <f t="shared" si="19"/>
        <v>#DIV/0!</v>
      </c>
      <c r="AC202" s="64"/>
      <c r="AD202" s="79" t="str">
        <f t="shared" si="20"/>
        <v>#DIV/0!</v>
      </c>
      <c r="AE202" s="64"/>
      <c r="AF202" s="64"/>
      <c r="AG202" s="64"/>
      <c r="AH202" s="64"/>
      <c r="AI202" s="64"/>
      <c r="AJ202" s="64"/>
      <c r="AK202" s="64"/>
      <c r="AL202" s="80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81"/>
    </row>
    <row r="203" ht="22.5" customHeight="1">
      <c r="A203" s="77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82" t="str">
        <f t="shared" si="19"/>
        <v>#DIV/0!</v>
      </c>
      <c r="AC203" s="59"/>
      <c r="AD203" s="82" t="str">
        <f t="shared" si="20"/>
        <v>#DIV/0!</v>
      </c>
      <c r="AE203" s="59"/>
      <c r="AF203" s="59"/>
      <c r="AG203" s="59"/>
      <c r="AH203" s="59"/>
      <c r="AI203" s="59"/>
      <c r="AJ203" s="59"/>
      <c r="AK203" s="59"/>
      <c r="AL203" s="83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84"/>
    </row>
    <row r="204" ht="22.5" customHeight="1">
      <c r="A204" s="78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79" t="str">
        <f t="shared" si="19"/>
        <v>#DIV/0!</v>
      </c>
      <c r="AC204" s="64"/>
      <c r="AD204" s="79" t="str">
        <f t="shared" si="20"/>
        <v>#DIV/0!</v>
      </c>
      <c r="AE204" s="64"/>
      <c r="AF204" s="64"/>
      <c r="AG204" s="64"/>
      <c r="AH204" s="64"/>
      <c r="AI204" s="64"/>
      <c r="AJ204" s="64"/>
      <c r="AK204" s="64"/>
      <c r="AL204" s="80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81"/>
    </row>
    <row r="205" ht="22.5" customHeight="1">
      <c r="A205" s="77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82" t="str">
        <f t="shared" si="19"/>
        <v>#DIV/0!</v>
      </c>
      <c r="AC205" s="59"/>
      <c r="AD205" s="82" t="str">
        <f t="shared" si="20"/>
        <v>#DIV/0!</v>
      </c>
      <c r="AE205" s="59"/>
      <c r="AF205" s="59"/>
      <c r="AG205" s="59"/>
      <c r="AH205" s="59"/>
      <c r="AI205" s="59"/>
      <c r="AJ205" s="59"/>
      <c r="AK205" s="59"/>
      <c r="AL205" s="83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84"/>
    </row>
    <row r="206" ht="22.5" customHeight="1">
      <c r="A206" s="78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79" t="str">
        <f t="shared" si="19"/>
        <v>#DIV/0!</v>
      </c>
      <c r="AC206" s="64"/>
      <c r="AD206" s="79" t="str">
        <f t="shared" si="20"/>
        <v>#DIV/0!</v>
      </c>
      <c r="AE206" s="64"/>
      <c r="AF206" s="64"/>
      <c r="AG206" s="64"/>
      <c r="AH206" s="64"/>
      <c r="AI206" s="64"/>
      <c r="AJ206" s="64"/>
      <c r="AK206" s="64"/>
      <c r="AL206" s="80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81"/>
    </row>
    <row r="207" ht="22.5" customHeight="1">
      <c r="A207" s="77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82" t="str">
        <f t="shared" si="19"/>
        <v>#DIV/0!</v>
      </c>
      <c r="AC207" s="59"/>
      <c r="AD207" s="82" t="str">
        <f t="shared" si="20"/>
        <v>#DIV/0!</v>
      </c>
      <c r="AE207" s="59"/>
      <c r="AF207" s="59"/>
      <c r="AG207" s="59"/>
      <c r="AH207" s="59"/>
      <c r="AI207" s="59"/>
      <c r="AJ207" s="59"/>
      <c r="AK207" s="59"/>
      <c r="AL207" s="83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84"/>
    </row>
    <row r="208" ht="22.5" customHeight="1">
      <c r="A208" s="78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79" t="str">
        <f t="shared" si="19"/>
        <v>#DIV/0!</v>
      </c>
      <c r="AC208" s="64"/>
      <c r="AD208" s="79" t="str">
        <f t="shared" si="20"/>
        <v>#DIV/0!</v>
      </c>
      <c r="AE208" s="64"/>
      <c r="AF208" s="64"/>
      <c r="AG208" s="64"/>
      <c r="AH208" s="64"/>
      <c r="AI208" s="64"/>
      <c r="AJ208" s="64"/>
      <c r="AK208" s="64"/>
      <c r="AL208" s="80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81"/>
    </row>
    <row r="209" ht="22.5" customHeight="1">
      <c r="A209" s="77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82" t="str">
        <f t="shared" si="19"/>
        <v>#DIV/0!</v>
      </c>
      <c r="AC209" s="59"/>
      <c r="AD209" s="82" t="str">
        <f t="shared" si="20"/>
        <v>#DIV/0!</v>
      </c>
      <c r="AE209" s="59"/>
      <c r="AF209" s="59"/>
      <c r="AG209" s="59"/>
      <c r="AH209" s="59"/>
      <c r="AI209" s="59"/>
      <c r="AJ209" s="59"/>
      <c r="AK209" s="59"/>
      <c r="AL209" s="83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84"/>
    </row>
    <row r="210" ht="22.5" customHeight="1">
      <c r="A210" s="78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79" t="str">
        <f t="shared" si="19"/>
        <v>#DIV/0!</v>
      </c>
      <c r="AC210" s="64"/>
      <c r="AD210" s="79" t="str">
        <f t="shared" si="20"/>
        <v>#DIV/0!</v>
      </c>
      <c r="AE210" s="64"/>
      <c r="AF210" s="64"/>
      <c r="AG210" s="64"/>
      <c r="AH210" s="64"/>
      <c r="AI210" s="64"/>
      <c r="AJ210" s="64"/>
      <c r="AK210" s="64"/>
      <c r="AL210" s="80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81"/>
    </row>
    <row r="211" ht="22.5" customHeight="1">
      <c r="A211" s="77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82" t="str">
        <f t="shared" si="19"/>
        <v>#DIV/0!</v>
      </c>
      <c r="AC211" s="59"/>
      <c r="AD211" s="82" t="str">
        <f t="shared" si="20"/>
        <v>#DIV/0!</v>
      </c>
      <c r="AE211" s="59"/>
      <c r="AF211" s="59"/>
      <c r="AG211" s="59"/>
      <c r="AH211" s="59"/>
      <c r="AI211" s="59"/>
      <c r="AJ211" s="59"/>
      <c r="AK211" s="59"/>
      <c r="AL211" s="83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84"/>
    </row>
    <row r="212" ht="22.5" customHeight="1">
      <c r="A212" s="78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79" t="str">
        <f t="shared" si="19"/>
        <v>#DIV/0!</v>
      </c>
      <c r="AC212" s="64"/>
      <c r="AD212" s="79" t="str">
        <f t="shared" si="20"/>
        <v>#DIV/0!</v>
      </c>
      <c r="AE212" s="64"/>
      <c r="AF212" s="64"/>
      <c r="AG212" s="64"/>
      <c r="AH212" s="64"/>
      <c r="AI212" s="64"/>
      <c r="AJ212" s="64"/>
      <c r="AK212" s="64"/>
      <c r="AL212" s="80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81"/>
    </row>
    <row r="213" ht="22.5" customHeight="1">
      <c r="A213" s="77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82" t="str">
        <f t="shared" si="19"/>
        <v>#DIV/0!</v>
      </c>
      <c r="AC213" s="59"/>
      <c r="AD213" s="82" t="str">
        <f t="shared" si="20"/>
        <v>#DIV/0!</v>
      </c>
      <c r="AE213" s="59"/>
      <c r="AF213" s="59"/>
      <c r="AG213" s="59"/>
      <c r="AH213" s="59"/>
      <c r="AI213" s="59"/>
      <c r="AJ213" s="59"/>
      <c r="AK213" s="59"/>
      <c r="AL213" s="83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84"/>
    </row>
    <row r="214" ht="22.5" customHeight="1">
      <c r="A214" s="78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79" t="str">
        <f t="shared" si="19"/>
        <v>#DIV/0!</v>
      </c>
      <c r="AC214" s="64"/>
      <c r="AD214" s="79" t="str">
        <f t="shared" si="20"/>
        <v>#DIV/0!</v>
      </c>
      <c r="AE214" s="64"/>
      <c r="AF214" s="64"/>
      <c r="AG214" s="64"/>
      <c r="AH214" s="64"/>
      <c r="AI214" s="64"/>
      <c r="AJ214" s="64"/>
      <c r="AK214" s="64"/>
      <c r="AL214" s="80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81"/>
    </row>
    <row r="215" ht="22.5" customHeight="1">
      <c r="A215" s="77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82" t="str">
        <f t="shared" si="19"/>
        <v>#DIV/0!</v>
      </c>
      <c r="AC215" s="59"/>
      <c r="AD215" s="82" t="str">
        <f t="shared" si="20"/>
        <v>#DIV/0!</v>
      </c>
      <c r="AE215" s="59"/>
      <c r="AF215" s="59"/>
      <c r="AG215" s="59"/>
      <c r="AH215" s="59"/>
      <c r="AI215" s="59"/>
      <c r="AJ215" s="59"/>
      <c r="AK215" s="59"/>
      <c r="AL215" s="83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84"/>
    </row>
    <row r="216" ht="22.5" customHeight="1">
      <c r="A216" s="78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79" t="str">
        <f t="shared" si="19"/>
        <v>#DIV/0!</v>
      </c>
      <c r="AC216" s="64"/>
      <c r="AD216" s="79" t="str">
        <f t="shared" si="20"/>
        <v>#DIV/0!</v>
      </c>
      <c r="AE216" s="64"/>
      <c r="AF216" s="64"/>
      <c r="AG216" s="64"/>
      <c r="AH216" s="64"/>
      <c r="AI216" s="64"/>
      <c r="AJ216" s="64"/>
      <c r="AK216" s="64"/>
      <c r="AL216" s="80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81"/>
    </row>
    <row r="217" ht="22.5" customHeight="1">
      <c r="A217" s="77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82" t="str">
        <f t="shared" si="19"/>
        <v>#DIV/0!</v>
      </c>
      <c r="AC217" s="59"/>
      <c r="AD217" s="82" t="str">
        <f t="shared" si="20"/>
        <v>#DIV/0!</v>
      </c>
      <c r="AE217" s="59"/>
      <c r="AF217" s="59"/>
      <c r="AG217" s="59"/>
      <c r="AH217" s="59"/>
      <c r="AI217" s="59"/>
      <c r="AJ217" s="59"/>
      <c r="AK217" s="59"/>
      <c r="AL217" s="83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84"/>
    </row>
    <row r="218" ht="22.5" customHeight="1">
      <c r="A218" s="78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79" t="str">
        <f t="shared" si="19"/>
        <v>#DIV/0!</v>
      </c>
      <c r="AC218" s="64"/>
      <c r="AD218" s="79" t="str">
        <f t="shared" si="20"/>
        <v>#DIV/0!</v>
      </c>
      <c r="AE218" s="64"/>
      <c r="AF218" s="64"/>
      <c r="AG218" s="64"/>
      <c r="AH218" s="64"/>
      <c r="AI218" s="64"/>
      <c r="AJ218" s="64"/>
      <c r="AK218" s="64"/>
      <c r="AL218" s="80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81"/>
    </row>
    <row r="219" ht="22.5" customHeight="1">
      <c r="A219" s="77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82" t="str">
        <f t="shared" si="19"/>
        <v>#DIV/0!</v>
      </c>
      <c r="AC219" s="59"/>
      <c r="AD219" s="82" t="str">
        <f t="shared" si="20"/>
        <v>#DIV/0!</v>
      </c>
      <c r="AE219" s="59"/>
      <c r="AF219" s="59"/>
      <c r="AG219" s="59"/>
      <c r="AH219" s="59"/>
      <c r="AI219" s="59"/>
      <c r="AJ219" s="59"/>
      <c r="AK219" s="59"/>
      <c r="AL219" s="83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84"/>
    </row>
    <row r="220" ht="22.5" customHeight="1">
      <c r="A220" s="78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79" t="str">
        <f t="shared" si="19"/>
        <v>#DIV/0!</v>
      </c>
      <c r="AC220" s="64"/>
      <c r="AD220" s="79" t="str">
        <f t="shared" si="20"/>
        <v>#DIV/0!</v>
      </c>
      <c r="AE220" s="64"/>
      <c r="AF220" s="64"/>
      <c r="AG220" s="64"/>
      <c r="AH220" s="64"/>
      <c r="AI220" s="64"/>
      <c r="AJ220" s="64"/>
      <c r="AK220" s="64"/>
      <c r="AL220" s="80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81"/>
    </row>
    <row r="221" ht="22.5" customHeight="1">
      <c r="A221" s="77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82" t="str">
        <f t="shared" si="19"/>
        <v>#DIV/0!</v>
      </c>
      <c r="AC221" s="59"/>
      <c r="AD221" s="82" t="str">
        <f t="shared" si="20"/>
        <v>#DIV/0!</v>
      </c>
      <c r="AE221" s="59"/>
      <c r="AF221" s="59"/>
      <c r="AG221" s="59"/>
      <c r="AH221" s="59"/>
      <c r="AI221" s="59"/>
      <c r="AJ221" s="59"/>
      <c r="AK221" s="59"/>
      <c r="AL221" s="83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84"/>
    </row>
    <row r="222" ht="22.5" customHeight="1">
      <c r="A222" s="78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79" t="str">
        <f t="shared" si="19"/>
        <v>#DIV/0!</v>
      </c>
      <c r="AC222" s="64"/>
      <c r="AD222" s="79" t="str">
        <f t="shared" si="20"/>
        <v>#DIV/0!</v>
      </c>
      <c r="AE222" s="64"/>
      <c r="AF222" s="64"/>
      <c r="AG222" s="64"/>
      <c r="AH222" s="64"/>
      <c r="AI222" s="64"/>
      <c r="AJ222" s="64"/>
      <c r="AK222" s="64"/>
      <c r="AL222" s="80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81"/>
    </row>
    <row r="223" ht="22.5" customHeight="1">
      <c r="A223" s="77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82" t="str">
        <f t="shared" si="19"/>
        <v>#DIV/0!</v>
      </c>
      <c r="AC223" s="59"/>
      <c r="AD223" s="82" t="str">
        <f t="shared" si="20"/>
        <v>#DIV/0!</v>
      </c>
      <c r="AE223" s="59"/>
      <c r="AF223" s="59"/>
      <c r="AG223" s="59"/>
      <c r="AH223" s="59"/>
      <c r="AI223" s="59"/>
      <c r="AJ223" s="59"/>
      <c r="AK223" s="59"/>
      <c r="AL223" s="83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84"/>
    </row>
    <row r="224" ht="22.5" customHeight="1">
      <c r="A224" s="78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79" t="str">
        <f t="shared" si="19"/>
        <v>#DIV/0!</v>
      </c>
      <c r="AC224" s="64"/>
      <c r="AD224" s="79" t="str">
        <f t="shared" si="20"/>
        <v>#DIV/0!</v>
      </c>
      <c r="AE224" s="64"/>
      <c r="AF224" s="64"/>
      <c r="AG224" s="64"/>
      <c r="AH224" s="64"/>
      <c r="AI224" s="64"/>
      <c r="AJ224" s="64"/>
      <c r="AK224" s="64"/>
      <c r="AL224" s="80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81"/>
    </row>
    <row r="225" ht="22.5" customHeight="1">
      <c r="A225" s="77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82" t="str">
        <f t="shared" si="19"/>
        <v>#DIV/0!</v>
      </c>
      <c r="AC225" s="59"/>
      <c r="AD225" s="82" t="str">
        <f t="shared" si="20"/>
        <v>#DIV/0!</v>
      </c>
      <c r="AE225" s="59"/>
      <c r="AF225" s="59"/>
      <c r="AG225" s="59"/>
      <c r="AH225" s="59"/>
      <c r="AI225" s="59"/>
      <c r="AJ225" s="59"/>
      <c r="AK225" s="59"/>
      <c r="AL225" s="83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84"/>
    </row>
    <row r="226" ht="22.5" customHeight="1">
      <c r="A226" s="78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79" t="str">
        <f t="shared" si="19"/>
        <v>#DIV/0!</v>
      </c>
      <c r="AC226" s="64"/>
      <c r="AD226" s="79" t="str">
        <f t="shared" si="20"/>
        <v>#DIV/0!</v>
      </c>
      <c r="AE226" s="64"/>
      <c r="AF226" s="64"/>
      <c r="AG226" s="64"/>
      <c r="AH226" s="64"/>
      <c r="AI226" s="64"/>
      <c r="AJ226" s="64"/>
      <c r="AK226" s="64"/>
      <c r="AL226" s="80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81"/>
    </row>
    <row r="227" ht="22.5" customHeight="1">
      <c r="A227" s="77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82" t="str">
        <f t="shared" si="19"/>
        <v>#DIV/0!</v>
      </c>
      <c r="AC227" s="59"/>
      <c r="AD227" s="82" t="str">
        <f t="shared" si="20"/>
        <v>#DIV/0!</v>
      </c>
      <c r="AE227" s="59"/>
      <c r="AF227" s="59"/>
      <c r="AG227" s="59"/>
      <c r="AH227" s="59"/>
      <c r="AI227" s="59"/>
      <c r="AJ227" s="59"/>
      <c r="AK227" s="59"/>
      <c r="AL227" s="83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84"/>
    </row>
    <row r="228" ht="22.5" customHeight="1">
      <c r="A228" s="78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79" t="str">
        <f t="shared" si="19"/>
        <v>#DIV/0!</v>
      </c>
      <c r="AC228" s="64"/>
      <c r="AD228" s="79" t="str">
        <f t="shared" si="20"/>
        <v>#DIV/0!</v>
      </c>
      <c r="AE228" s="64"/>
      <c r="AF228" s="64"/>
      <c r="AG228" s="64"/>
      <c r="AH228" s="64"/>
      <c r="AI228" s="64"/>
      <c r="AJ228" s="64"/>
      <c r="AK228" s="64"/>
      <c r="AL228" s="80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81"/>
    </row>
    <row r="229" ht="22.5" customHeight="1">
      <c r="A229" s="77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82" t="str">
        <f t="shared" si="19"/>
        <v>#DIV/0!</v>
      </c>
      <c r="AC229" s="59"/>
      <c r="AD229" s="82" t="str">
        <f t="shared" si="20"/>
        <v>#DIV/0!</v>
      </c>
      <c r="AE229" s="59"/>
      <c r="AF229" s="59"/>
      <c r="AG229" s="59"/>
      <c r="AH229" s="59"/>
      <c r="AI229" s="59"/>
      <c r="AJ229" s="59"/>
      <c r="AK229" s="59"/>
      <c r="AL229" s="83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84"/>
    </row>
    <row r="230" ht="22.5" customHeight="1">
      <c r="A230" s="78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79" t="str">
        <f t="shared" si="19"/>
        <v>#DIV/0!</v>
      </c>
      <c r="AC230" s="64"/>
      <c r="AD230" s="79" t="str">
        <f t="shared" si="20"/>
        <v>#DIV/0!</v>
      </c>
      <c r="AE230" s="64"/>
      <c r="AF230" s="64"/>
      <c r="AG230" s="64"/>
      <c r="AH230" s="64"/>
      <c r="AI230" s="64"/>
      <c r="AJ230" s="64"/>
      <c r="AK230" s="64"/>
      <c r="AL230" s="80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81"/>
    </row>
    <row r="231" ht="22.5" customHeight="1">
      <c r="A231" s="77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82" t="str">
        <f t="shared" si="19"/>
        <v>#DIV/0!</v>
      </c>
      <c r="AC231" s="59"/>
      <c r="AD231" s="82" t="str">
        <f t="shared" si="20"/>
        <v>#DIV/0!</v>
      </c>
      <c r="AE231" s="59"/>
      <c r="AF231" s="59"/>
      <c r="AG231" s="59"/>
      <c r="AH231" s="59"/>
      <c r="AI231" s="59"/>
      <c r="AJ231" s="59"/>
      <c r="AK231" s="59"/>
      <c r="AL231" s="83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84"/>
    </row>
    <row r="232" ht="22.5" customHeight="1">
      <c r="A232" s="78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79" t="str">
        <f t="shared" si="19"/>
        <v>#DIV/0!</v>
      </c>
      <c r="AC232" s="64"/>
      <c r="AD232" s="79" t="str">
        <f t="shared" si="20"/>
        <v>#DIV/0!</v>
      </c>
      <c r="AE232" s="64"/>
      <c r="AF232" s="64"/>
      <c r="AG232" s="64"/>
      <c r="AH232" s="64"/>
      <c r="AI232" s="64"/>
      <c r="AJ232" s="64"/>
      <c r="AK232" s="64"/>
      <c r="AL232" s="80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81"/>
    </row>
    <row r="233" ht="22.5" customHeight="1">
      <c r="A233" s="77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82" t="str">
        <f t="shared" si="19"/>
        <v>#DIV/0!</v>
      </c>
      <c r="AC233" s="59"/>
      <c r="AD233" s="82" t="str">
        <f t="shared" si="20"/>
        <v>#DIV/0!</v>
      </c>
      <c r="AE233" s="59"/>
      <c r="AF233" s="59"/>
      <c r="AG233" s="59"/>
      <c r="AH233" s="59"/>
      <c r="AI233" s="59"/>
      <c r="AJ233" s="59"/>
      <c r="AK233" s="59"/>
      <c r="AL233" s="83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84"/>
    </row>
    <row r="234" ht="22.5" customHeight="1">
      <c r="A234" s="78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79" t="str">
        <f t="shared" si="19"/>
        <v>#DIV/0!</v>
      </c>
      <c r="AC234" s="64"/>
      <c r="AD234" s="79" t="str">
        <f t="shared" si="20"/>
        <v>#DIV/0!</v>
      </c>
      <c r="AE234" s="64"/>
      <c r="AF234" s="64"/>
      <c r="AG234" s="64"/>
      <c r="AH234" s="64"/>
      <c r="AI234" s="64"/>
      <c r="AJ234" s="64"/>
      <c r="AK234" s="64"/>
      <c r="AL234" s="80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81"/>
    </row>
    <row r="235" ht="22.5" customHeight="1">
      <c r="A235" s="77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82" t="str">
        <f t="shared" si="19"/>
        <v>#DIV/0!</v>
      </c>
      <c r="AC235" s="59"/>
      <c r="AD235" s="82" t="str">
        <f t="shared" si="20"/>
        <v>#DIV/0!</v>
      </c>
      <c r="AE235" s="59"/>
      <c r="AF235" s="59"/>
      <c r="AG235" s="59"/>
      <c r="AH235" s="59"/>
      <c r="AI235" s="59"/>
      <c r="AJ235" s="59"/>
      <c r="AK235" s="59"/>
      <c r="AL235" s="83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84"/>
    </row>
    <row r="236" ht="22.5" customHeight="1">
      <c r="A236" s="78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79" t="str">
        <f t="shared" si="19"/>
        <v>#DIV/0!</v>
      </c>
      <c r="AC236" s="64"/>
      <c r="AD236" s="79" t="str">
        <f t="shared" si="20"/>
        <v>#DIV/0!</v>
      </c>
      <c r="AE236" s="64"/>
      <c r="AF236" s="64"/>
      <c r="AG236" s="64"/>
      <c r="AH236" s="64"/>
      <c r="AI236" s="64"/>
      <c r="AJ236" s="64"/>
      <c r="AK236" s="64"/>
      <c r="AL236" s="80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81"/>
    </row>
    <row r="237" ht="22.5" customHeight="1">
      <c r="A237" s="77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82" t="str">
        <f t="shared" si="19"/>
        <v>#DIV/0!</v>
      </c>
      <c r="AC237" s="59"/>
      <c r="AD237" s="82" t="str">
        <f t="shared" si="20"/>
        <v>#DIV/0!</v>
      </c>
      <c r="AE237" s="59"/>
      <c r="AF237" s="59"/>
      <c r="AG237" s="59"/>
      <c r="AH237" s="59"/>
      <c r="AI237" s="59"/>
      <c r="AJ237" s="59"/>
      <c r="AK237" s="59"/>
      <c r="AL237" s="83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84"/>
    </row>
    <row r="238" ht="22.5" customHeight="1">
      <c r="A238" s="78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79" t="str">
        <f t="shared" si="19"/>
        <v>#DIV/0!</v>
      </c>
      <c r="AC238" s="64"/>
      <c r="AD238" s="79" t="str">
        <f t="shared" si="20"/>
        <v>#DIV/0!</v>
      </c>
      <c r="AE238" s="64"/>
      <c r="AF238" s="64"/>
      <c r="AG238" s="64"/>
      <c r="AH238" s="64"/>
      <c r="AI238" s="64"/>
      <c r="AJ238" s="64"/>
      <c r="AK238" s="64"/>
      <c r="AL238" s="80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81"/>
    </row>
    <row r="239" ht="22.5" customHeight="1">
      <c r="A239" s="77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82" t="str">
        <f t="shared" si="19"/>
        <v>#DIV/0!</v>
      </c>
      <c r="AC239" s="59"/>
      <c r="AD239" s="82" t="str">
        <f t="shared" si="20"/>
        <v>#DIV/0!</v>
      </c>
      <c r="AE239" s="59"/>
      <c r="AF239" s="59"/>
      <c r="AG239" s="59"/>
      <c r="AH239" s="59"/>
      <c r="AI239" s="59"/>
      <c r="AJ239" s="59"/>
      <c r="AK239" s="59"/>
      <c r="AL239" s="83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84"/>
    </row>
    <row r="240" ht="22.5" customHeight="1">
      <c r="A240" s="78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79" t="str">
        <f t="shared" si="19"/>
        <v>#DIV/0!</v>
      </c>
      <c r="AC240" s="64"/>
      <c r="AD240" s="79" t="str">
        <f t="shared" si="20"/>
        <v>#DIV/0!</v>
      </c>
      <c r="AE240" s="64"/>
      <c r="AF240" s="64"/>
      <c r="AG240" s="64"/>
      <c r="AH240" s="64"/>
      <c r="AI240" s="64"/>
      <c r="AJ240" s="64"/>
      <c r="AK240" s="64"/>
      <c r="AL240" s="80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81"/>
    </row>
    <row r="241" ht="22.5" customHeight="1">
      <c r="A241" s="77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82" t="str">
        <f t="shared" si="19"/>
        <v>#DIV/0!</v>
      </c>
      <c r="AC241" s="59"/>
      <c r="AD241" s="82" t="str">
        <f t="shared" si="20"/>
        <v>#DIV/0!</v>
      </c>
      <c r="AE241" s="59"/>
      <c r="AF241" s="59"/>
      <c r="AG241" s="59"/>
      <c r="AH241" s="59"/>
      <c r="AI241" s="59"/>
      <c r="AJ241" s="59"/>
      <c r="AK241" s="59"/>
      <c r="AL241" s="83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84"/>
    </row>
    <row r="242" ht="22.5" customHeight="1">
      <c r="A242" s="78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79" t="str">
        <f t="shared" si="19"/>
        <v>#DIV/0!</v>
      </c>
      <c r="AC242" s="64"/>
      <c r="AD242" s="79" t="str">
        <f t="shared" si="20"/>
        <v>#DIV/0!</v>
      </c>
      <c r="AE242" s="64"/>
      <c r="AF242" s="64"/>
      <c r="AG242" s="64"/>
      <c r="AH242" s="64"/>
      <c r="AI242" s="64"/>
      <c r="AJ242" s="64"/>
      <c r="AK242" s="64"/>
      <c r="AL242" s="80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81"/>
    </row>
    <row r="243" ht="22.5" customHeight="1">
      <c r="A243" s="77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82" t="str">
        <f t="shared" si="19"/>
        <v>#DIV/0!</v>
      </c>
      <c r="AC243" s="59"/>
      <c r="AD243" s="82" t="str">
        <f t="shared" si="20"/>
        <v>#DIV/0!</v>
      </c>
      <c r="AE243" s="59"/>
      <c r="AF243" s="59"/>
      <c r="AG243" s="59"/>
      <c r="AH243" s="59"/>
      <c r="AI243" s="59"/>
      <c r="AJ243" s="59"/>
      <c r="AK243" s="59"/>
      <c r="AL243" s="83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84"/>
    </row>
    <row r="244" ht="22.5" customHeight="1">
      <c r="A244" s="78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79" t="str">
        <f t="shared" si="19"/>
        <v>#DIV/0!</v>
      </c>
      <c r="AC244" s="64"/>
      <c r="AD244" s="79" t="str">
        <f t="shared" si="20"/>
        <v>#DIV/0!</v>
      </c>
      <c r="AE244" s="64"/>
      <c r="AF244" s="64"/>
      <c r="AG244" s="64"/>
      <c r="AH244" s="64"/>
      <c r="AI244" s="64"/>
      <c r="AJ244" s="64"/>
      <c r="AK244" s="64"/>
      <c r="AL244" s="80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81"/>
    </row>
    <row r="245" ht="22.5" customHeight="1">
      <c r="A245" s="77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82" t="str">
        <f t="shared" si="19"/>
        <v>#DIV/0!</v>
      </c>
      <c r="AC245" s="59"/>
      <c r="AD245" s="82" t="str">
        <f t="shared" si="20"/>
        <v>#DIV/0!</v>
      </c>
      <c r="AE245" s="59"/>
      <c r="AF245" s="59"/>
      <c r="AG245" s="59"/>
      <c r="AH245" s="59"/>
      <c r="AI245" s="59"/>
      <c r="AJ245" s="59"/>
      <c r="AK245" s="59"/>
      <c r="AL245" s="83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84"/>
    </row>
    <row r="246" ht="22.5" customHeight="1">
      <c r="A246" s="78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79" t="str">
        <f t="shared" si="19"/>
        <v>#DIV/0!</v>
      </c>
      <c r="AC246" s="64"/>
      <c r="AD246" s="79" t="str">
        <f t="shared" si="20"/>
        <v>#DIV/0!</v>
      </c>
      <c r="AE246" s="64"/>
      <c r="AF246" s="64"/>
      <c r="AG246" s="64"/>
      <c r="AH246" s="64"/>
      <c r="AI246" s="64"/>
      <c r="AJ246" s="64"/>
      <c r="AK246" s="64"/>
      <c r="AL246" s="80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81"/>
    </row>
    <row r="247" ht="22.5" customHeight="1">
      <c r="A247" s="77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82" t="str">
        <f t="shared" si="19"/>
        <v>#DIV/0!</v>
      </c>
      <c r="AC247" s="59"/>
      <c r="AD247" s="82" t="str">
        <f t="shared" si="20"/>
        <v>#DIV/0!</v>
      </c>
      <c r="AE247" s="59"/>
      <c r="AF247" s="59"/>
      <c r="AG247" s="59"/>
      <c r="AH247" s="59"/>
      <c r="AI247" s="59"/>
      <c r="AJ247" s="59"/>
      <c r="AK247" s="59"/>
      <c r="AL247" s="83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84"/>
    </row>
    <row r="248" ht="22.5" customHeight="1">
      <c r="A248" s="78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79" t="str">
        <f t="shared" si="19"/>
        <v>#DIV/0!</v>
      </c>
      <c r="AC248" s="64"/>
      <c r="AD248" s="79" t="str">
        <f t="shared" si="20"/>
        <v>#DIV/0!</v>
      </c>
      <c r="AE248" s="64"/>
      <c r="AF248" s="64"/>
      <c r="AG248" s="64"/>
      <c r="AH248" s="64"/>
      <c r="AI248" s="64"/>
      <c r="AJ248" s="64"/>
      <c r="AK248" s="64"/>
      <c r="AL248" s="80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81"/>
    </row>
    <row r="249" ht="22.5" customHeight="1">
      <c r="A249" s="77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82" t="str">
        <f t="shared" si="19"/>
        <v>#DIV/0!</v>
      </c>
      <c r="AC249" s="59"/>
      <c r="AD249" s="82" t="str">
        <f t="shared" si="20"/>
        <v>#DIV/0!</v>
      </c>
      <c r="AE249" s="59"/>
      <c r="AF249" s="59"/>
      <c r="AG249" s="59"/>
      <c r="AH249" s="59"/>
      <c r="AI249" s="59"/>
      <c r="AJ249" s="59"/>
      <c r="AK249" s="59"/>
      <c r="AL249" s="83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84"/>
    </row>
    <row r="250" ht="22.5" customHeight="1">
      <c r="A250" s="78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79" t="str">
        <f t="shared" si="19"/>
        <v>#DIV/0!</v>
      </c>
      <c r="AC250" s="64"/>
      <c r="AD250" s="79" t="str">
        <f t="shared" si="20"/>
        <v>#DIV/0!</v>
      </c>
      <c r="AE250" s="64"/>
      <c r="AF250" s="64"/>
      <c r="AG250" s="64"/>
      <c r="AH250" s="64"/>
      <c r="AI250" s="64"/>
      <c r="AJ250" s="64"/>
      <c r="AK250" s="64"/>
      <c r="AL250" s="80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81"/>
    </row>
    <row r="251" ht="22.5" customHeight="1">
      <c r="A251" s="77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82" t="str">
        <f t="shared" si="19"/>
        <v>#DIV/0!</v>
      </c>
      <c r="AC251" s="59"/>
      <c r="AD251" s="82" t="str">
        <f t="shared" si="20"/>
        <v>#DIV/0!</v>
      </c>
      <c r="AE251" s="59"/>
      <c r="AF251" s="59"/>
      <c r="AG251" s="59"/>
      <c r="AH251" s="59"/>
      <c r="AI251" s="59"/>
      <c r="AJ251" s="59"/>
      <c r="AK251" s="59"/>
      <c r="AL251" s="83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84"/>
    </row>
    <row r="252" ht="22.5" customHeight="1">
      <c r="A252" s="78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79" t="str">
        <f t="shared" si="19"/>
        <v>#DIV/0!</v>
      </c>
      <c r="AC252" s="64"/>
      <c r="AD252" s="79" t="str">
        <f t="shared" si="20"/>
        <v>#DIV/0!</v>
      </c>
      <c r="AE252" s="64"/>
      <c r="AF252" s="64"/>
      <c r="AG252" s="64"/>
      <c r="AH252" s="64"/>
      <c r="AI252" s="64"/>
      <c r="AJ252" s="64"/>
      <c r="AK252" s="64"/>
      <c r="AL252" s="80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81"/>
    </row>
    <row r="253" ht="22.5" customHeight="1">
      <c r="A253" s="77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82" t="str">
        <f t="shared" si="19"/>
        <v>#DIV/0!</v>
      </c>
      <c r="AC253" s="59"/>
      <c r="AD253" s="82" t="str">
        <f t="shared" si="20"/>
        <v>#DIV/0!</v>
      </c>
      <c r="AE253" s="59"/>
      <c r="AF253" s="59"/>
      <c r="AG253" s="59"/>
      <c r="AH253" s="59"/>
      <c r="AI253" s="59"/>
      <c r="AJ253" s="59"/>
      <c r="AK253" s="59"/>
      <c r="AL253" s="83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84"/>
    </row>
    <row r="254" ht="22.5" customHeight="1">
      <c r="A254" s="78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79" t="str">
        <f t="shared" si="19"/>
        <v>#DIV/0!</v>
      </c>
      <c r="AC254" s="64"/>
      <c r="AD254" s="79" t="str">
        <f t="shared" si="20"/>
        <v>#DIV/0!</v>
      </c>
      <c r="AE254" s="64"/>
      <c r="AF254" s="64"/>
      <c r="AG254" s="64"/>
      <c r="AH254" s="64"/>
      <c r="AI254" s="64"/>
      <c r="AJ254" s="64"/>
      <c r="AK254" s="64"/>
      <c r="AL254" s="80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81"/>
    </row>
    <row r="255" ht="22.5" customHeight="1">
      <c r="A255" s="77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82" t="str">
        <f t="shared" si="19"/>
        <v>#DIV/0!</v>
      </c>
      <c r="AC255" s="59"/>
      <c r="AD255" s="82" t="str">
        <f t="shared" si="20"/>
        <v>#DIV/0!</v>
      </c>
      <c r="AE255" s="59"/>
      <c r="AF255" s="59"/>
      <c r="AG255" s="59"/>
      <c r="AH255" s="59"/>
      <c r="AI255" s="59"/>
      <c r="AJ255" s="59"/>
      <c r="AK255" s="59"/>
      <c r="AL255" s="83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84"/>
    </row>
    <row r="256" ht="22.5" customHeight="1">
      <c r="A256" s="78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79" t="str">
        <f t="shared" si="19"/>
        <v>#DIV/0!</v>
      </c>
      <c r="AC256" s="64"/>
      <c r="AD256" s="79" t="str">
        <f t="shared" si="20"/>
        <v>#DIV/0!</v>
      </c>
      <c r="AE256" s="64"/>
      <c r="AF256" s="64"/>
      <c r="AG256" s="64"/>
      <c r="AH256" s="64"/>
      <c r="AI256" s="64"/>
      <c r="AJ256" s="64"/>
      <c r="AK256" s="64"/>
      <c r="AL256" s="80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81"/>
    </row>
    <row r="257" ht="22.5" customHeight="1">
      <c r="A257" s="77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82" t="str">
        <f t="shared" si="19"/>
        <v>#DIV/0!</v>
      </c>
      <c r="AC257" s="59"/>
      <c r="AD257" s="82" t="str">
        <f t="shared" si="20"/>
        <v>#DIV/0!</v>
      </c>
      <c r="AE257" s="59"/>
      <c r="AF257" s="59"/>
      <c r="AG257" s="59"/>
      <c r="AH257" s="59"/>
      <c r="AI257" s="59"/>
      <c r="AJ257" s="59"/>
      <c r="AK257" s="59"/>
      <c r="AL257" s="83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84"/>
    </row>
    <row r="258" ht="22.5" customHeight="1">
      <c r="A258" s="78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79" t="str">
        <f t="shared" si="19"/>
        <v>#DIV/0!</v>
      </c>
      <c r="AC258" s="64"/>
      <c r="AD258" s="79" t="str">
        <f t="shared" si="20"/>
        <v>#DIV/0!</v>
      </c>
      <c r="AE258" s="64"/>
      <c r="AF258" s="64"/>
      <c r="AG258" s="64"/>
      <c r="AH258" s="64"/>
      <c r="AI258" s="64"/>
      <c r="AJ258" s="64"/>
      <c r="AK258" s="64"/>
      <c r="AL258" s="80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81"/>
    </row>
    <row r="259" ht="22.5" customHeight="1">
      <c r="A259" s="77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82" t="str">
        <f t="shared" si="19"/>
        <v>#DIV/0!</v>
      </c>
      <c r="AC259" s="59"/>
      <c r="AD259" s="82" t="str">
        <f t="shared" si="20"/>
        <v>#DIV/0!</v>
      </c>
      <c r="AE259" s="59"/>
      <c r="AF259" s="59"/>
      <c r="AG259" s="59"/>
      <c r="AH259" s="59"/>
      <c r="AI259" s="59"/>
      <c r="AJ259" s="59"/>
      <c r="AK259" s="59"/>
      <c r="AL259" s="83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84"/>
    </row>
    <row r="260" ht="22.5" customHeight="1">
      <c r="A260" s="78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79" t="str">
        <f t="shared" si="19"/>
        <v>#DIV/0!</v>
      </c>
      <c r="AC260" s="64"/>
      <c r="AD260" s="79" t="str">
        <f t="shared" si="20"/>
        <v>#DIV/0!</v>
      </c>
      <c r="AE260" s="64"/>
      <c r="AF260" s="64"/>
      <c r="AG260" s="64"/>
      <c r="AH260" s="64"/>
      <c r="AI260" s="64"/>
      <c r="AJ260" s="64"/>
      <c r="AK260" s="64"/>
      <c r="AL260" s="80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81"/>
    </row>
    <row r="261" ht="22.5" customHeight="1">
      <c r="A261" s="85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7" t="str">
        <f t="shared" si="19"/>
        <v>#DIV/0!</v>
      </c>
      <c r="AC261" s="86"/>
      <c r="AD261" s="87" t="str">
        <f t="shared" si="20"/>
        <v>#DIV/0!</v>
      </c>
      <c r="AE261" s="86"/>
      <c r="AF261" s="86"/>
      <c r="AG261" s="86"/>
      <c r="AH261" s="86"/>
      <c r="AI261" s="86"/>
      <c r="AJ261" s="86"/>
      <c r="AK261" s="86"/>
      <c r="AL261" s="88"/>
      <c r="AM261" s="86"/>
      <c r="AN261" s="86"/>
      <c r="AO261" s="86"/>
      <c r="AP261" s="86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9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customSheetViews>
    <customSheetView guid="{8E4F56A6-CDF3-44BA-9B0C-00ED3159EA7D}" filter="1" showAutoFilter="1">
      <autoFilter ref="$A$1:$BI$261">
        <filterColumn colId="2">
          <filters>
            <filter val="#REF!"/>
            <filter val="MAB"/>
          </filters>
        </filterColumn>
      </autoFilter>
      <extLst>
        <ext uri="GoogleSheetsCustomDataVersion1">
          <go:sheetsCustomData xmlns:go="http://customooxmlschemas.google.com/" filterViewId="1455756929"/>
        </ext>
      </extLst>
    </customSheetView>
  </customSheetViews>
  <dataValidations>
    <dataValidation type="custom" allowBlank="1" showDropDown="1" sqref="AL2:AL261">
      <formula1/>
    </dataValidation>
  </dataValidations>
  <hyperlinks>
    <hyperlink r:id="rId1" ref="AY2"/>
    <hyperlink r:id="rId2" ref="AZ2"/>
    <hyperlink r:id="rId3" ref="AY3"/>
    <hyperlink r:id="rId4" ref="AZ3"/>
    <hyperlink r:id="rId5" ref="AY4"/>
    <hyperlink r:id="rId6" ref="AZ4"/>
    <hyperlink r:id="rId7" ref="AY5"/>
    <hyperlink r:id="rId8" ref="AZ5"/>
    <hyperlink r:id="rId9" ref="AY6"/>
    <hyperlink r:id="rId10" ref="AY7"/>
    <hyperlink r:id="rId11" ref="AY8"/>
    <hyperlink r:id="rId12" ref="AY9"/>
    <hyperlink r:id="rId13" ref="AY10"/>
    <hyperlink r:id="rId14" ref="AY11"/>
    <hyperlink r:id="rId15" ref="AY12"/>
    <hyperlink r:id="rId16" ref="AY13"/>
    <hyperlink r:id="rId17" ref="AY14"/>
    <hyperlink r:id="rId18" ref="AY15"/>
    <hyperlink r:id="rId19" ref="AY16"/>
    <hyperlink r:id="rId20" ref="AY17"/>
    <hyperlink r:id="rId21" ref="AY18"/>
    <hyperlink r:id="rId22" ref="AY19"/>
    <hyperlink r:id="rId23" ref="AY20"/>
    <hyperlink r:id="rId24" ref="AY21"/>
    <hyperlink r:id="rId25" ref="AY22"/>
    <hyperlink r:id="rId26" ref="AY23"/>
    <hyperlink r:id="rId27" ref="AY24"/>
    <hyperlink r:id="rId28" ref="AY25"/>
    <hyperlink r:id="rId29" ref="AY26"/>
    <hyperlink r:id="rId30" ref="AY27"/>
    <hyperlink r:id="rId31" ref="AY28"/>
    <hyperlink r:id="rId32" ref="AY29"/>
    <hyperlink r:id="rId33" ref="AY30"/>
    <hyperlink r:id="rId34" ref="AY31"/>
    <hyperlink r:id="rId35" ref="AY32"/>
    <hyperlink r:id="rId36" ref="AY33"/>
    <hyperlink r:id="rId37" ref="AY34"/>
    <hyperlink r:id="rId38" ref="AY35"/>
    <hyperlink r:id="rId39" ref="AY36"/>
    <hyperlink r:id="rId40" ref="AY37"/>
    <hyperlink r:id="rId41" ref="AY38"/>
    <hyperlink r:id="rId42" ref="AY39"/>
    <hyperlink r:id="rId43" ref="AY40"/>
    <hyperlink r:id="rId44" ref="AY41"/>
    <hyperlink r:id="rId45" ref="AY42"/>
    <hyperlink r:id="rId46" ref="AY43"/>
    <hyperlink r:id="rId47" ref="AY44"/>
    <hyperlink r:id="rId48" ref="AY45"/>
    <hyperlink r:id="rId49" ref="AY46"/>
    <hyperlink r:id="rId50" ref="AY47"/>
    <hyperlink r:id="rId51" ref="AY48"/>
    <hyperlink r:id="rId52" ref="AY49"/>
    <hyperlink r:id="rId53" ref="AY50"/>
    <hyperlink r:id="rId54" ref="AY51"/>
    <hyperlink r:id="rId55" ref="AY52"/>
    <hyperlink r:id="rId56" ref="AY53"/>
    <hyperlink r:id="rId57" ref="AY54"/>
    <hyperlink r:id="rId58" ref="AY55"/>
    <hyperlink r:id="rId59" ref="AY56"/>
    <hyperlink r:id="rId60" ref="AY57"/>
    <hyperlink r:id="rId61" ref="AY58"/>
    <hyperlink r:id="rId62" ref="AY59"/>
    <hyperlink r:id="rId63" ref="AY60"/>
    <hyperlink r:id="rId64" ref="AY61"/>
    <hyperlink r:id="rId65" ref="AY62"/>
    <hyperlink r:id="rId66" ref="AY63"/>
    <hyperlink r:id="rId67" ref="AY64"/>
    <hyperlink r:id="rId68" ref="AY65"/>
    <hyperlink r:id="rId69" ref="AY66"/>
    <hyperlink r:id="rId70" ref="AY67"/>
    <hyperlink r:id="rId71" ref="AY68"/>
    <hyperlink r:id="rId72" ref="AY69"/>
    <hyperlink r:id="rId73" ref="AY70"/>
    <hyperlink r:id="rId74" ref="AY71"/>
    <hyperlink r:id="rId75" ref="AY72"/>
    <hyperlink r:id="rId76" ref="AY73"/>
    <hyperlink r:id="rId77" ref="AY74"/>
    <hyperlink r:id="rId78" ref="AY75"/>
    <hyperlink r:id="rId79" ref="AY76"/>
    <hyperlink r:id="rId80" ref="AY77"/>
    <hyperlink r:id="rId81" ref="AY78"/>
    <hyperlink r:id="rId82" ref="AY79"/>
    <hyperlink r:id="rId83" ref="AY80"/>
    <hyperlink r:id="rId84" ref="AY81"/>
    <hyperlink r:id="rId85" ref="AY82"/>
    <hyperlink r:id="rId86" ref="AY83"/>
    <hyperlink r:id="rId87" ref="AY84"/>
    <hyperlink r:id="rId88" ref="AY85"/>
    <hyperlink r:id="rId89" ref="AY86"/>
    <hyperlink r:id="rId90" ref="AY87"/>
    <hyperlink r:id="rId91" ref="AY88"/>
    <hyperlink r:id="rId92" ref="AY89"/>
    <hyperlink r:id="rId93" ref="AY90"/>
    <hyperlink r:id="rId94" ref="AY91"/>
    <hyperlink r:id="rId95" ref="AY92"/>
    <hyperlink r:id="rId96" ref="AY93"/>
    <hyperlink r:id="rId97" ref="AY94"/>
    <hyperlink r:id="rId98" ref="AY95"/>
    <hyperlink r:id="rId99" ref="AY96"/>
    <hyperlink r:id="rId100" ref="AY97"/>
    <hyperlink r:id="rId101" ref="AY98"/>
    <hyperlink r:id="rId102" ref="AY99"/>
    <hyperlink r:id="rId103" ref="AY100"/>
    <hyperlink r:id="rId104" ref="AY101"/>
    <hyperlink r:id="rId105" ref="AY102"/>
    <hyperlink r:id="rId106" ref="AY103"/>
    <hyperlink r:id="rId107" ref="AY104"/>
    <hyperlink r:id="rId108" ref="AY105"/>
    <hyperlink r:id="rId109" ref="AY106"/>
    <hyperlink r:id="rId110" ref="AY107"/>
    <hyperlink r:id="rId111" ref="AY108"/>
    <hyperlink r:id="rId112" ref="AY109"/>
    <hyperlink r:id="rId113" ref="AY110"/>
    <hyperlink r:id="rId114" ref="AY111"/>
    <hyperlink r:id="rId115" ref="AY112"/>
    <hyperlink r:id="rId116" ref="AY113"/>
    <hyperlink r:id="rId117" ref="AY114"/>
    <hyperlink r:id="rId118" ref="AY115"/>
    <hyperlink r:id="rId119" ref="AY116"/>
    <hyperlink r:id="rId120" ref="AY117"/>
    <hyperlink r:id="rId121" ref="AY118"/>
    <hyperlink r:id="rId122" ref="AY119"/>
    <hyperlink r:id="rId123" ref="AY120"/>
    <hyperlink r:id="rId124" ref="AY121"/>
    <hyperlink r:id="rId125" ref="AY122"/>
    <hyperlink r:id="rId126" ref="AY123"/>
    <hyperlink r:id="rId127" ref="AY124"/>
    <hyperlink r:id="rId128" ref="AY125"/>
    <hyperlink r:id="rId129" ref="AY126"/>
    <hyperlink r:id="rId130" ref="AY127"/>
    <hyperlink r:id="rId131" ref="AY128"/>
    <hyperlink r:id="rId132" ref="AY129"/>
    <hyperlink r:id="rId133" ref="AY130"/>
    <hyperlink r:id="rId134" ref="AY131"/>
    <hyperlink r:id="rId135" ref="AY132"/>
    <hyperlink r:id="rId136" ref="AY133"/>
    <hyperlink r:id="rId137" ref="AY134"/>
    <hyperlink r:id="rId138" ref="AY135"/>
    <hyperlink r:id="rId139" ref="AY136"/>
    <hyperlink r:id="rId140" ref="AY137"/>
    <hyperlink r:id="rId141" ref="AY138"/>
    <hyperlink r:id="rId142" ref="AY139"/>
    <hyperlink r:id="rId143" ref="AY140"/>
    <hyperlink r:id="rId144" ref="AY141"/>
    <hyperlink r:id="rId145" ref="AY142"/>
    <hyperlink r:id="rId146" ref="AY143"/>
    <hyperlink r:id="rId147" ref="AY144"/>
    <hyperlink r:id="rId148" ref="AY145"/>
    <hyperlink r:id="rId149" ref="AY146"/>
    <hyperlink r:id="rId150" ref="AY147"/>
    <hyperlink r:id="rId151" ref="AY148"/>
    <hyperlink r:id="rId152" ref="AY149"/>
    <hyperlink r:id="rId153" ref="AY150"/>
    <hyperlink r:id="rId154" ref="AY151"/>
    <hyperlink r:id="rId155" ref="AY152"/>
    <hyperlink r:id="rId156" ref="AY153"/>
    <hyperlink r:id="rId157" ref="AY154"/>
    <hyperlink r:id="rId158" ref="AY155"/>
    <hyperlink r:id="rId159" ref="AY156"/>
    <hyperlink r:id="rId160" ref="AY157"/>
    <hyperlink r:id="rId161" ref="AY158"/>
    <hyperlink r:id="rId162" ref="AY159"/>
    <hyperlink r:id="rId163" ref="AY160"/>
    <hyperlink r:id="rId164" ref="AY161"/>
    <hyperlink r:id="rId165" ref="AY162"/>
    <hyperlink r:id="rId166" ref="AY163"/>
    <hyperlink r:id="rId167" ref="AY164"/>
    <hyperlink r:id="rId168" ref="AY165"/>
    <hyperlink r:id="rId169" ref="AY166"/>
    <hyperlink r:id="rId170" ref="AY167"/>
    <hyperlink r:id="rId171" ref="AY168"/>
    <hyperlink r:id="rId172" ref="AY169"/>
    <hyperlink r:id="rId173" ref="AY170"/>
    <hyperlink r:id="rId174" ref="AY171"/>
    <hyperlink r:id="rId175" ref="AY172"/>
    <hyperlink r:id="rId176" ref="AY173"/>
    <hyperlink r:id="rId177" ref="AY174"/>
    <hyperlink r:id="rId178" ref="AX175"/>
    <hyperlink r:id="rId179" ref="AY175"/>
    <hyperlink r:id="rId180" ref="AY176"/>
    <hyperlink r:id="rId181" ref="AY177"/>
    <hyperlink r:id="rId182" ref="AY178"/>
    <hyperlink r:id="rId183" ref="AY179"/>
  </hyperlinks>
  <printOptions/>
  <pageMargins bottom="1.0" footer="0.0" header="0.0" left="0.75" right="0.75" top="1.0"/>
  <pageSetup orientation="landscape"/>
  <drawing r:id="rId184"/>
  <tableParts count="1">
    <tablePart r:id="rId18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2025-12-16T12:45:06Z</dcterms:created>
  <dc:creator>openpyxl</dc:creator>
</cp:coreProperties>
</file>